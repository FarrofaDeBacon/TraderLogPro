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TraderLogPro\"/>
    </mc:Choice>
  </mc:AlternateContent>
  <xr:revisionPtr revIDLastSave="0" documentId="13_ncr:1_{6721E7C8-3C8F-4B93-BE2F-19B6A73B25C5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Ações" sheetId="1" r:id="rId1"/>
    <sheet name="Futur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G2" i="2"/>
  <c r="H2" i="2"/>
  <c r="I2" i="2"/>
  <c r="J2" i="2"/>
  <c r="K2" i="2"/>
  <c r="L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3" i="2"/>
  <c r="C3" i="2"/>
  <c r="D3" i="2"/>
  <c r="E3" i="2"/>
  <c r="F3" i="2"/>
  <c r="G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4" i="2"/>
  <c r="C4" i="2"/>
  <c r="D4" i="2"/>
  <c r="E4" i="2"/>
  <c r="F4" i="2"/>
  <c r="G4" i="2"/>
  <c r="H4" i="2"/>
  <c r="I4" i="2"/>
  <c r="J4" i="2"/>
  <c r="K4" i="2"/>
  <c r="L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2" i="1"/>
  <c r="C2" i="1"/>
  <c r="D2" i="1"/>
  <c r="E2" i="1"/>
  <c r="F2" i="1"/>
  <c r="G2" i="1"/>
  <c r="H2" i="1"/>
  <c r="I2" i="1"/>
  <c r="J2" i="1"/>
  <c r="K2" i="1"/>
  <c r="L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3" i="1"/>
  <c r="C3" i="1"/>
  <c r="D3" i="1"/>
  <c r="E3" i="1"/>
  <c r="F3" i="1"/>
  <c r="G3" i="1"/>
  <c r="H3" i="1"/>
  <c r="I3" i="1"/>
  <c r="J3" i="1"/>
  <c r="K3" i="1"/>
  <c r="L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4" i="1"/>
  <c r="C4" i="1"/>
  <c r="D4" i="1"/>
  <c r="E4" i="1"/>
  <c r="F4" i="1"/>
  <c r="G4" i="1"/>
  <c r="H4" i="1"/>
  <c r="I4" i="1"/>
  <c r="J4" i="1"/>
  <c r="K4" i="1"/>
  <c r="L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5" i="1"/>
  <c r="C5" i="1"/>
  <c r="D5" i="1"/>
  <c r="E5" i="1"/>
  <c r="F5" i="1"/>
  <c r="G5" i="1"/>
  <c r="H5" i="1"/>
  <c r="I5" i="1"/>
  <c r="J5" i="1"/>
  <c r="K5" i="1"/>
  <c r="L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6" i="1"/>
  <c r="C6" i="1"/>
  <c r="D6" i="1"/>
  <c r="E6" i="1"/>
  <c r="F6" i="1"/>
  <c r="G6" i="1"/>
  <c r="H6" i="1"/>
  <c r="I6" i="1"/>
  <c r="J6" i="1"/>
  <c r="K6" i="1"/>
  <c r="L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7" i="1"/>
  <c r="C7" i="1"/>
  <c r="D7" i="1"/>
  <c r="E7" i="1"/>
  <c r="F7" i="1"/>
  <c r="G7" i="1"/>
  <c r="H7" i="1"/>
  <c r="I7" i="1"/>
  <c r="J7" i="1"/>
  <c r="K7" i="1"/>
  <c r="L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8" i="1"/>
  <c r="C8" i="1"/>
  <c r="D8" i="1"/>
  <c r="E8" i="1"/>
  <c r="F8" i="1"/>
  <c r="G8" i="1"/>
  <c r="H8" i="1"/>
  <c r="I8" i="1"/>
  <c r="J8" i="1"/>
  <c r="K8" i="1"/>
  <c r="L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9" i="1"/>
  <c r="C9" i="1"/>
  <c r="D9" i="1"/>
  <c r="E9" i="1"/>
  <c r="F9" i="1"/>
  <c r="G9" i="1"/>
  <c r="H9" i="1"/>
  <c r="I9" i="1"/>
  <c r="J9" i="1"/>
  <c r="K9" i="1"/>
  <c r="L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10" i="1"/>
  <c r="C10" i="1"/>
  <c r="D10" i="1"/>
  <c r="E10" i="1"/>
  <c r="F10" i="1"/>
  <c r="G10" i="1"/>
  <c r="H10" i="1"/>
  <c r="I10" i="1"/>
  <c r="J10" i="1"/>
  <c r="K10" i="1"/>
  <c r="L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11" i="1"/>
  <c r="C11" i="1"/>
  <c r="D11" i="1"/>
  <c r="E11" i="1"/>
  <c r="F11" i="1"/>
  <c r="G11" i="1"/>
  <c r="H11" i="1"/>
  <c r="I11" i="1"/>
  <c r="J11" i="1"/>
  <c r="K11" i="1"/>
  <c r="L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12" i="1"/>
  <c r="C12" i="1"/>
  <c r="D12" i="1"/>
  <c r="E12" i="1"/>
  <c r="F12" i="1"/>
  <c r="G12" i="1"/>
  <c r="H12" i="1"/>
  <c r="I12" i="1"/>
  <c r="J12" i="1"/>
  <c r="K12" i="1"/>
  <c r="L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13" i="1"/>
  <c r="C13" i="1"/>
  <c r="D13" i="1"/>
  <c r="E13" i="1"/>
  <c r="F13" i="1"/>
  <c r="G13" i="1"/>
  <c r="H13" i="1"/>
  <c r="I13" i="1"/>
  <c r="J13" i="1"/>
  <c r="K13" i="1"/>
  <c r="L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14" i="1"/>
  <c r="C14" i="1"/>
  <c r="D14" i="1"/>
  <c r="E14" i="1"/>
  <c r="F14" i="1"/>
  <c r="G14" i="1"/>
  <c r="H14" i="1"/>
  <c r="I14" i="1"/>
  <c r="J14" i="1"/>
  <c r="K14" i="1"/>
  <c r="L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15" i="1"/>
  <c r="C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16" i="1"/>
  <c r="C16" i="1"/>
  <c r="D16" i="1"/>
  <c r="E16" i="1"/>
  <c r="F16" i="1"/>
  <c r="G16" i="1"/>
  <c r="H16" i="1"/>
  <c r="I16" i="1"/>
  <c r="J16" i="1"/>
  <c r="K16" i="1"/>
  <c r="L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17" i="1"/>
  <c r="C17" i="1"/>
  <c r="D17" i="1"/>
  <c r="E17" i="1"/>
  <c r="F17" i="1"/>
  <c r="G17" i="1"/>
  <c r="H17" i="1"/>
  <c r="I17" i="1"/>
  <c r="J17" i="1"/>
  <c r="K17" i="1"/>
  <c r="L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18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19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20" i="1"/>
  <c r="C20" i="1"/>
  <c r="D20" i="1"/>
  <c r="E20" i="1"/>
  <c r="F20" i="1"/>
  <c r="G20" i="1"/>
  <c r="H20" i="1"/>
  <c r="I20" i="1"/>
  <c r="J20" i="1"/>
  <c r="K20" i="1"/>
  <c r="L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21" i="1"/>
  <c r="C21" i="1"/>
  <c r="D21" i="1"/>
  <c r="E21" i="1"/>
  <c r="F21" i="1"/>
  <c r="G21" i="1"/>
  <c r="H21" i="1"/>
  <c r="I21" i="1"/>
  <c r="J21" i="1"/>
  <c r="K21" i="1"/>
  <c r="L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22" i="1"/>
  <c r="C22" i="1"/>
  <c r="D22" i="1"/>
  <c r="E22" i="1"/>
  <c r="F22" i="1"/>
  <c r="G22" i="1"/>
  <c r="H22" i="1"/>
  <c r="I22" i="1"/>
  <c r="J22" i="1"/>
  <c r="K22" i="1"/>
  <c r="L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23" i="1"/>
  <c r="C23" i="1"/>
  <c r="D23" i="1"/>
  <c r="E23" i="1"/>
  <c r="F23" i="1"/>
  <c r="G23" i="1"/>
  <c r="H23" i="1"/>
  <c r="I23" i="1"/>
  <c r="J23" i="1"/>
  <c r="K23" i="1"/>
  <c r="L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24" i="1"/>
  <c r="C24" i="1"/>
  <c r="D24" i="1"/>
  <c r="E24" i="1"/>
  <c r="F24" i="1"/>
  <c r="G24" i="1"/>
  <c r="H24" i="1"/>
  <c r="I24" i="1"/>
  <c r="J24" i="1"/>
  <c r="K24" i="1"/>
  <c r="L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25" i="1"/>
  <c r="C25" i="1"/>
  <c r="D25" i="1"/>
  <c r="E25" i="1"/>
  <c r="F25" i="1"/>
  <c r="G25" i="1"/>
  <c r="H25" i="1"/>
  <c r="I25" i="1"/>
  <c r="J25" i="1"/>
  <c r="K25" i="1"/>
  <c r="L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26" i="1"/>
  <c r="C26" i="1"/>
  <c r="D26" i="1"/>
  <c r="E26" i="1"/>
  <c r="F26" i="1"/>
  <c r="G26" i="1"/>
  <c r="H26" i="1"/>
  <c r="I26" i="1"/>
  <c r="J26" i="1"/>
  <c r="K26" i="1"/>
  <c r="L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27" i="1"/>
  <c r="C27" i="1"/>
  <c r="D27" i="1"/>
  <c r="E27" i="1"/>
  <c r="F27" i="1"/>
  <c r="G27" i="1"/>
  <c r="H27" i="1"/>
  <c r="I27" i="1"/>
  <c r="J27" i="1"/>
  <c r="K27" i="1"/>
  <c r="L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28" i="1"/>
  <c r="C28" i="1"/>
  <c r="D28" i="1"/>
  <c r="E28" i="1"/>
  <c r="F28" i="1"/>
  <c r="G28" i="1"/>
  <c r="H28" i="1"/>
  <c r="I28" i="1"/>
  <c r="J28" i="1"/>
  <c r="K28" i="1"/>
  <c r="L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</calcChain>
</file>

<file path=xl/sharedStrings.xml><?xml version="1.0" encoding="utf-8"?>
<sst xmlns="http://schemas.openxmlformats.org/spreadsheetml/2006/main" count="166" uniqueCount="113">
  <si>
    <t>Asset</t>
  </si>
  <si>
    <t>Data</t>
  </si>
  <si>
    <t>Hora</t>
  </si>
  <si>
    <t>Último</t>
  </si>
  <si>
    <t>Abertura</t>
  </si>
  <si>
    <t>Máximo</t>
  </si>
  <si>
    <t>Mínimo</t>
  </si>
  <si>
    <t>Fechamento Anterior</t>
  </si>
  <si>
    <t>Strike</t>
  </si>
  <si>
    <t>Variação</t>
  </si>
  <si>
    <t>Variação(pts)</t>
  </si>
  <si>
    <t>Média</t>
  </si>
  <si>
    <t>Nome do Ativo</t>
  </si>
  <si>
    <t>Negócios</t>
  </si>
  <si>
    <t>QUL</t>
  </si>
  <si>
    <t>Quantidade</t>
  </si>
  <si>
    <t>Volume</t>
  </si>
  <si>
    <t>Of. Compra</t>
  </si>
  <si>
    <t>Of. Venda</t>
  </si>
  <si>
    <t>VOC</t>
  </si>
  <si>
    <t>VOV</t>
  </si>
  <si>
    <t>Ajuste</t>
  </si>
  <si>
    <t>Aj. Anterior</t>
  </si>
  <si>
    <t>Preço Teórico</t>
  </si>
  <si>
    <t>Qtd. Teórica</t>
  </si>
  <si>
    <t>Volume Projetado</t>
  </si>
  <si>
    <t>Semana</t>
  </si>
  <si>
    <t>Mês</t>
  </si>
  <si>
    <t>3 meses</t>
  </si>
  <si>
    <t>6 meses</t>
  </si>
  <si>
    <t>12 meses</t>
  </si>
  <si>
    <t>Ano</t>
  </si>
  <si>
    <t>Trimestre</t>
  </si>
  <si>
    <t>Semestre</t>
  </si>
  <si>
    <t>Vencimento</t>
  </si>
  <si>
    <t>Validade</t>
  </si>
  <si>
    <t>Cont. Abertos</t>
  </si>
  <si>
    <t>Estado Atual</t>
  </si>
  <si>
    <t>Black Scholes</t>
  </si>
  <si>
    <t>Volt. Implícita</t>
  </si>
  <si>
    <t>Delta</t>
  </si>
  <si>
    <t>Gama</t>
  </si>
  <si>
    <t>Theta</t>
  </si>
  <si>
    <t>Rho</t>
  </si>
  <si>
    <t>Vega</t>
  </si>
  <si>
    <t>VI Ask</t>
  </si>
  <si>
    <t>VI Bid</t>
  </si>
  <si>
    <t>Dobrar %</t>
  </si>
  <si>
    <t>VI / VH</t>
  </si>
  <si>
    <t>Valor Intrínseco</t>
  </si>
  <si>
    <t>Valor Extrínseco</t>
  </si>
  <si>
    <t>VWAP</t>
  </si>
  <si>
    <t>WDOFUT</t>
  </si>
  <si>
    <t>Dolar Mini</t>
  </si>
  <si>
    <t>WINFUT</t>
  </si>
  <si>
    <t>Ibovespa Mini</t>
  </si>
  <si>
    <t>BITFUT</t>
  </si>
  <si>
    <t>Futuro De Bitcoin</t>
  </si>
  <si>
    <t>EMBR3</t>
  </si>
  <si>
    <t>Embraer ON NM</t>
  </si>
  <si>
    <t>VIVT3</t>
  </si>
  <si>
    <t>ITSA4</t>
  </si>
  <si>
    <t>CYRE3</t>
  </si>
  <si>
    <t>Cyrela Realt ON NM</t>
  </si>
  <si>
    <t>CSNA3</t>
  </si>
  <si>
    <t>Sid Nacional ON</t>
  </si>
  <si>
    <t>LREN3</t>
  </si>
  <si>
    <t>Lojas Renner ON NM</t>
  </si>
  <si>
    <t>CIEL3</t>
  </si>
  <si>
    <t>Cielo ON NM</t>
  </si>
  <si>
    <t>ECOR3</t>
  </si>
  <si>
    <t>Ecorodovias ON NM</t>
  </si>
  <si>
    <t>GFSA3</t>
  </si>
  <si>
    <t>Gafisa ON NM</t>
  </si>
  <si>
    <t>MRVE3</t>
  </si>
  <si>
    <t>Mrv ON NM</t>
  </si>
  <si>
    <t>BBDC4</t>
  </si>
  <si>
    <t>RENT3</t>
  </si>
  <si>
    <t>BRAP4</t>
  </si>
  <si>
    <t>Bradespar PN N1</t>
  </si>
  <si>
    <t>BBAS3</t>
  </si>
  <si>
    <t>VALE3</t>
  </si>
  <si>
    <t>MGLU3</t>
  </si>
  <si>
    <t>Magaz Luiza ON NM</t>
  </si>
  <si>
    <t>ITUB4</t>
  </si>
  <si>
    <t>SUZB3</t>
  </si>
  <si>
    <t>Suzano S.A. ON NM</t>
  </si>
  <si>
    <t>CMIG4</t>
  </si>
  <si>
    <t>Cemig PN N1</t>
  </si>
  <si>
    <t>BRFS3</t>
  </si>
  <si>
    <t>Brf Sa ON NM</t>
  </si>
  <si>
    <t>PETR4</t>
  </si>
  <si>
    <t>Petrobras PN N2</t>
  </si>
  <si>
    <t>IBOV</t>
  </si>
  <si>
    <t>Ibovespa</t>
  </si>
  <si>
    <t>USIM5</t>
  </si>
  <si>
    <t>Usiminas PNA N1</t>
  </si>
  <si>
    <t>GGBR4</t>
  </si>
  <si>
    <t>ABEV3</t>
  </si>
  <si>
    <t>GOAU4</t>
  </si>
  <si>
    <t>B3SA3</t>
  </si>
  <si>
    <t>psicotrade</t>
  </si>
  <si>
    <t>Itausa PN N1</t>
  </si>
  <si>
    <t>Brasil ON NM</t>
  </si>
  <si>
    <t>Telef Brasil ON EJ</t>
  </si>
  <si>
    <t>Bradesco PN EJ N1</t>
  </si>
  <si>
    <t>Localiza ON EJ NM</t>
  </si>
  <si>
    <t>Vale ON ATZ NM</t>
  </si>
  <si>
    <t>Itauunibanco PN EJ N1</t>
  </si>
  <si>
    <t>Gerdau PN N1</t>
  </si>
  <si>
    <t>Ambev S/A ON ATZ</t>
  </si>
  <si>
    <t>Gerdau Met PN N1</t>
  </si>
  <si>
    <t>B3 ON EJ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</si>
</sst>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e">
        <v>#N/A</v>
        <stp/>
        <stp>BITFUT_F_0</stp>
        <stp>BLACK</stp>
        <tr r="AM4" s="2"/>
      </tp>
      <tp t="e">
        <v>#N/A</v>
        <stp/>
        <stp>WDOFUT_F_0</stp>
        <stp>DELTA</stp>
        <tr r="AO2" s="2"/>
      </tp>
      <tp t="e">
        <v>#N/A</v>
        <stp/>
        <stp>WINFUT_F_0</stp>
        <stp>BLACK</stp>
        <tr r="AM3" s="2"/>
      </tp>
      <tp t="e">
        <v>#N/A</v>
        <stp/>
        <stp>WDOFUT_F_0</stp>
        <stp>SEMES</stp>
        <tr r="AH2" s="2"/>
      </tp>
      <tp t="e">
        <v>#N/A</v>
        <stp/>
        <stp>B3SA3_B_0</stp>
        <stp>3M</stp>
        <tr r="AC28" s="1"/>
      </tp>
      <tp t="e">
        <v>#N/A</v>
        <stp/>
        <stp>B3SA3_B_0</stp>
        <stp>6M</stp>
        <tr r="AD28" s="1"/>
      </tp>
      <tp t="e">
        <v>#N/A</v>
        <stp/>
        <stp>B3SA3_B_0</stp>
        <stp>67</stp>
        <tr r="BA28" s="1"/>
      </tp>
      <tp t="e">
        <v>#N/A</v>
        <stp/>
        <stp>WINFUT_F_0</stp>
        <stp>THETA</stp>
        <tr r="AQ3" s="2"/>
      </tp>
      <tp t="e">
        <v>#N/A</v>
        <stp/>
        <stp>BITFUT_F_0</stp>
        <stp>THETA</stp>
        <tr r="AQ4" s="2"/>
      </tp>
      <tp t="e">
        <v>#N/A</v>
        <stp/>
        <stp>WDOFUT_F_0</stp>
        <stp>THETA</stp>
        <tr r="AQ2" s="2"/>
      </tp>
      <tp t="e">
        <v>#N/A</v>
        <stp/>
        <stp>BITFUT_F_0</stp>
        <stp>SEMES</stp>
        <tr r="AH4" s="2"/>
      </tp>
      <tp t="e">
        <v>#N/A</v>
        <stp/>
        <stp>WINFUT_F_0</stp>
        <stp>SEMES</stp>
        <tr r="AH3" s="2"/>
      </tp>
      <tp t="e">
        <v>#N/A</v>
        <stp/>
        <stp>WINFUT_F_0</stp>
        <stp>DELTA</stp>
        <tr r="AO3" s="2"/>
      </tp>
      <tp t="e">
        <v>#N/A</v>
        <stp/>
        <stp>BITFUT_F_0</stp>
        <stp>DELTA</stp>
        <tr r="AO4" s="2"/>
      </tp>
      <tp t="e">
        <v>#N/A</v>
        <stp/>
        <stp>WDOFUT_F_0</stp>
        <stp>BLACK</stp>
        <tr r="AM2" s="2"/>
      </tp>
      <tp t="e">
        <v>#N/A</v>
        <stp/>
        <stp>WINFUT_F_0</stp>
        <stp>IMPVT</stp>
        <tr r="AN3" s="2"/>
      </tp>
      <tp t="e">
        <v>#N/A</v>
        <stp/>
        <stp>BITFUT_F_0</stp>
        <stp>IMPVT</stp>
        <tr r="AN4" s="2"/>
      </tp>
      <tp t="e">
        <v>#N/A</v>
        <stp/>
        <stp>WDOFUT_F_0</stp>
        <stp>IMPVT</stp>
        <tr r="AN2" s="2"/>
      </tp>
      <tp t="e">
        <v>#N/A</v>
        <stp/>
        <stp>WINFUT_F_0</stp>
        <stp>VEGA</stp>
        <tr r="AS3" s="2"/>
      </tp>
      <tp t="e">
        <v>#N/A</v>
        <stp/>
        <stp>WDOFUT_F_0</stp>
        <stp>VEGA</stp>
        <tr r="AS2" s="2"/>
      </tp>
      <tp t="e">
        <v>#N/A</v>
        <stp/>
        <stp>WDOFUT_F_0</stp>
        <stp>VEXT</stp>
        <tr r="AY2" s="2"/>
      </tp>
      <tp t="e">
        <v>#N/A</v>
        <stp/>
        <stp>WINFUT_F_0</stp>
        <stp>VEXT</stp>
        <tr r="AY3" s="2"/>
      </tp>
      <tp t="e">
        <v>#N/A</v>
        <stp/>
        <stp>BBAS3_B_0</stp>
        <stp>VEXT</stp>
        <tr r="AY15" s="1"/>
      </tp>
      <tp t="e">
        <v>#N/A</v>
        <stp/>
        <stp>BRFS3_B_0</stp>
        <stp>VEXT</stp>
        <tr r="AY21" s="1"/>
      </tp>
      <tp t="e">
        <v>#N/A</v>
        <stp/>
        <stp>ABEV3_B_0</stp>
        <stp>OCP</stp>
        <tr r="R26" s="1"/>
      </tp>
      <tp t="e">
        <v>#N/A</v>
        <stp/>
        <stp>RENT3_B_0</stp>
        <stp>DAT</stp>
        <tr r="B13" s="1"/>
      </tp>
      <tp t="e">
        <v>#N/A</v>
        <stp/>
        <stp>MGLU3_B_0</stp>
        <stp>FEC</stp>
        <tr r="H17" s="1"/>
      </tp>
      <tp t="e">
        <v>#N/A</v>
        <stp/>
        <stp>SUZB3_B_0</stp>
        <stp>PRT</stp>
        <tr r="X19" s="1"/>
      </tp>
      <tp t="e">
        <v>#N/A</v>
        <stp/>
        <stp>PETR4_B_0</stp>
        <stp>DELTA</stp>
        <tr r="AO22" s="1"/>
      </tp>
      <tp t="e">
        <v>#N/A</v>
        <stp/>
        <stp>GGBR4_B_0</stp>
        <stp>HOR</stp>
        <tr r="C25" s="1"/>
      </tp>
      <tp t="e">
        <v>#N/A</v>
        <stp/>
        <stp>EMBR3_B_0</stp>
        <stp>HOR</stp>
        <tr r="C2" s="1"/>
      </tp>
      <tp t="e">
        <v>#N/A</v>
        <stp/>
        <stp>CIEL3_B_0</stp>
        <stp>OVD</stp>
        <tr r="S8" s="1"/>
      </tp>
      <tp t="e">
        <v>#N/A</v>
        <stp/>
        <stp>LREN3_B_0</stp>
        <stp>OVD</stp>
        <tr r="S7" s="1"/>
      </tp>
      <tp t="e">
        <v>#N/A</v>
        <stp/>
        <stp>BBDC4_B_0</stp>
        <stp>NEG</stp>
        <tr r="N12" s="1"/>
      </tp>
      <tp t="e">
        <v>#N/A</v>
        <stp/>
        <stp>CMIG4_B_0</stp>
        <stp>CAB</stp>
        <tr r="AK20" s="1"/>
      </tp>
      <tp t="e">
        <v>#N/A</v>
        <stp/>
        <stp>SUZB3_B_0</stp>
        <stp>PEX</stp>
        <tr r="I19" s="1"/>
      </tp>
      <tp t="e">
        <v>#N/A</v>
        <stp/>
        <stp>VALE3_B_0</stp>
        <stp>SEMES</stp>
        <tr r="AH16" s="1"/>
      </tp>
      <tp t="e">
        <v>#N/A</v>
        <stp/>
        <stp>CSNA3_B_0</stp>
        <stp>DAT</stp>
        <tr r="B6" s="1"/>
      </tp>
      <tp t="e">
        <v>#N/A</v>
        <stp/>
        <stp>VALE3_B_0</stp>
        <stp>FEC</stp>
        <tr r="H16" s="1"/>
      </tp>
      <tp t="e">
        <v>#N/A</v>
        <stp/>
        <stp>ABEV3_B_0</stp>
        <stp>OVD</stp>
        <tr r="S26" s="1"/>
      </tp>
      <tp t="e">
        <v>#N/A</v>
        <stp/>
        <stp>ECOR3_B_0</stp>
        <stp>EST</stp>
        <tr r="AL9" s="1"/>
      </tp>
      <tp t="e">
        <v>#N/A</v>
        <stp/>
        <stp>CIEL3_B_0</stp>
        <stp>OCP</stp>
        <tr r="R8" s="1"/>
      </tp>
      <tp t="e">
        <v>#N/A</v>
        <stp/>
        <stp>USIM5_B_0</stp>
        <stp>CAB</stp>
        <tr r="AK24" s="1"/>
      </tp>
      <tp t="e">
        <v>#N/A</v>
        <stp/>
        <stp>VIVT3_B_0</stp>
        <stp>SEMES</stp>
        <tr r="AH3" s="1"/>
      </tp>
      <tp t="e">
        <v>#N/A</v>
        <stp/>
        <stp>LREN3_B_0</stp>
        <stp>OCP</stp>
        <tr r="R7" s="1"/>
      </tp>
      <tp t="e">
        <v>#N/A</v>
        <stp/>
        <stp>BRFS3_B_0</stp>
        <stp>VEGA</stp>
        <tr r="AS21" s="1"/>
      </tp>
      <tp t="e">
        <v>#N/A</v>
        <stp/>
        <stp>BBAS3_B_0</stp>
        <stp>VEGA</stp>
        <tr r="AS15" s="1"/>
      </tp>
      <tp t="e">
        <v>#N/A</v>
        <stp/>
        <stp>MGLU3_B_0</stp>
        <stp>DOBRAR</stp>
        <tr r="AV17" s="1"/>
      </tp>
      <tp t="e">
        <v>#N/A</v>
        <stp/>
        <stp>RENT3_B_0</stp>
        <stp>VARPTS</stp>
        <tr r="K13" s="1"/>
      </tp>
      <tp t="e">
        <v>#N/A</v>
        <stp/>
        <stp>GGBR4_B_0</stp>
        <stp>DOBRAR</stp>
        <tr r="AV25" s="1"/>
      </tp>
      <tp t="e">
        <v>#N/A</v>
        <stp/>
        <stp>PETR4_B_0</stp>
        <stp>VARPTS</stp>
        <tr r="K22" s="1"/>
      </tp>
      <tp t="e">
        <v>#N/A</v>
        <stp/>
        <stp>BRFS3_B_0</stp>
        <stp>MES</stp>
        <tr r="AB21" s="1"/>
      </tp>
      <tp t="e">
        <v>#N/A</v>
        <stp/>
        <stp>SUZB3_B_0</stp>
        <stp>QTE</stp>
        <tr r="Y19" s="1"/>
      </tp>
      <tp t="e">
        <v>#N/A</v>
        <stp/>
        <stp>SUZB3_B_0</stp>
        <stp>QTT</stp>
        <tr r="P19" s="1"/>
      </tp>
      <tp t="e">
        <v>#N/A</v>
        <stp/>
        <stp>BRFS3_B_0</stp>
        <stp>MED</stp>
        <tr r="L21" s="1"/>
      </tp>
      <tp t="e">
        <v>#N/A</v>
        <stp/>
        <stp>SUZB3_B_0</stp>
        <stp>QUL</stp>
        <tr r="O19" s="1"/>
      </tp>
      <tp t="e">
        <v>#N/A</v>
        <stp/>
        <stp>GGBR4_B_0</stp>
        <stp>VEXT</stp>
        <tr r="AY25" s="1"/>
      </tp>
      <tp t="e">
        <v>#N/A</v>
        <stp/>
        <stp>BBDC4_B_0</stp>
        <stp>OVD</stp>
        <tr r="S12" s="1"/>
      </tp>
      <tp t="e">
        <v>#N/A</v>
        <stp/>
        <stp>VALE3_B_0</stp>
        <stp>DELTA</stp>
        <tr r="AO16" s="1"/>
      </tp>
      <tp t="e">
        <v>#N/A</v>
        <stp/>
        <stp>BRFS3_B_0</stp>
        <stp>MAX</stp>
        <tr r="F21" s="1"/>
      </tp>
      <tp t="e">
        <v>#N/A</v>
        <stp/>
        <stp>CSNA3_B_0</stp>
        <stp>EST</stp>
        <tr r="AL6" s="1"/>
      </tp>
      <tp t="e">
        <v>#N/A</v>
        <stp/>
        <stp>VALE3_B_0</stp>
        <stp>TRIM</stp>
        <tr r="AG16" s="1"/>
      </tp>
      <tp t="e">
        <v>#N/A</v>
        <stp/>
        <stp>ECOR3_B_0</stp>
        <stp>DAT</stp>
        <tr r="B9" s="1"/>
      </tp>
      <tp t="e">
        <v>#N/A</v>
        <stp/>
        <stp>ABEV3_B_0</stp>
        <stp>NEG</stp>
        <tr r="N26" s="1"/>
      </tp>
      <tp t="e">
        <v>#N/A</v>
        <stp/>
        <stp>ECOR3_B_0</stp>
        <stp>VEXT</stp>
        <tr r="AY9" s="1"/>
      </tp>
      <tp t="e">
        <v>#N/A</v>
        <stp/>
        <stp>EMBR3_B_0</stp>
        <stp>VEXT</stp>
        <tr r="AY2" s="1"/>
      </tp>
      <tp t="e">
        <v>#N/A</v>
        <stp/>
        <stp>PETR4_B_0</stp>
        <stp>VEGA</stp>
        <tr r="AS22" s="1"/>
      </tp>
      <tp t="e">
        <v>#N/A</v>
        <stp/>
        <stp>VIVT3_B_0</stp>
        <stp>DELTA</stp>
        <tr r="AO3" s="1"/>
      </tp>
      <tp t="e">
        <v>#N/A</v>
        <stp/>
        <stp>VALE3_B_0</stp>
        <stp>101_psicotrade</stp>
        <tr r="AZ16" s="1"/>
      </tp>
      <tp t="e">
        <v>#N/A</v>
        <stp/>
        <stp>BRFS3_B_0</stp>
        <stp>MIN</stp>
        <tr r="G21" s="1"/>
      </tp>
      <tp t="e">
        <v>#N/A</v>
        <stp/>
        <stp>CYRE3_B_0</stp>
        <stp>TRIM</stp>
        <tr r="AG5" s="1"/>
      </tp>
      <tp t="e">
        <v>#N/A</v>
        <stp/>
        <stp>RENT3_B_0</stp>
        <stp>EST</stp>
        <tr r="AL13" s="1"/>
      </tp>
      <tp t="e">
        <v>#N/A</v>
        <stp/>
        <stp>IBOV_B_0</stp>
        <stp>MIN</stp>
        <tr r="G23" s="1"/>
      </tp>
      <tp t="e">
        <v>#N/A</v>
        <stp/>
        <stp>PETR4_B_0</stp>
        <stp>VEXT</stp>
        <tr r="AY22" s="1"/>
      </tp>
      <tp t="e">
        <v>#N/A</v>
        <stp/>
        <stp>BBDC4_B_0</stp>
        <stp>OCP</stp>
        <tr r="R12" s="1"/>
      </tp>
      <tp t="e">
        <v>#N/A</v>
        <stp/>
        <stp>PETR4_B_0</stp>
        <stp>SEMES</stp>
        <tr r="AH22" s="1"/>
      </tp>
      <tp t="e">
        <v>#N/A</v>
        <stp/>
        <stp>ABEV3_B_0</stp>
        <stp>GAMA</stp>
        <tr r="AP26" s="1"/>
      </tp>
      <tp t="e">
        <v>#N/A</v>
        <stp/>
        <stp>ECOR3_B_0</stp>
        <stp>VEGA</stp>
        <tr r="AS9" s="1"/>
      </tp>
      <tp t="e">
        <v>#N/A</v>
        <stp/>
        <stp>EMBR3_B_0</stp>
        <stp>VEGA</stp>
        <tr r="AS2" s="1"/>
      </tp>
      <tp t="e">
        <v>#N/A</v>
        <stp/>
        <stp>IBOV_B_0</stp>
        <stp>MAX</stp>
        <tr r="F23" s="1"/>
      </tp>
      <tp t="e">
        <v>#N/A</v>
        <stp/>
        <stp>GGBR4_B_0</stp>
        <stp>VEGA</stp>
        <tr r="AS25" s="1"/>
      </tp>
      <tp t="e">
        <v>#N/A</v>
        <stp/>
        <stp>LREN3_B_0</stp>
        <stp>NEG</stp>
        <tr r="N7" s="1"/>
      </tp>
      <tp t="e">
        <v>#N/A</v>
        <stp/>
        <stp>IBOV_B_0</stp>
        <stp>MED</stp>
        <tr r="L23" s="1"/>
      </tp>
      <tp t="e">
        <v>#N/A</v>
        <stp/>
        <stp>IBOV_B_0</stp>
        <stp>MES</stp>
        <tr r="AB23" s="1"/>
      </tp>
      <tp t="e">
        <v>#N/A</v>
        <stp/>
        <stp>MRVE3_B_0</stp>
        <stp>TRIM</stp>
        <tr r="AG11" s="1"/>
      </tp>
      <tp t="e">
        <v>#N/A</v>
        <stp/>
        <stp>CIEL3_B_0</stp>
        <stp>NEG</stp>
        <tr r="N8" s="1"/>
      </tp>
      <tp t="e">
        <v>#N/A</v>
        <stp/>
        <stp>GFSA3_B_0</stp>
        <stp>DOBRAR</stp>
        <tr r="AV10" s="1"/>
      </tp>
      <tp t="e">
        <v>#N/A</v>
        <stp/>
        <stp>BITFUT_F_0</stp>
        <stp>TRIM</stp>
        <tr r="AG4" s="2"/>
      </tp>
      <tp t="e">
        <v>#N/A</v>
        <stp/>
        <stp>BRFS3_B_0</stp>
        <stp>NEG</stp>
        <tr r="N21" s="1"/>
      </tp>
      <tp t="e">
        <v>#N/A</v>
        <stp/>
        <stp>ABEV3_B_0</stp>
        <stp>MAX</stp>
        <tr r="F26" s="1"/>
      </tp>
      <tp t="e">
        <v>#N/A</v>
        <stp/>
        <stp>BBAS3_B_0</stp>
        <stp>101_psicotrade</stp>
        <tr r="AZ15" s="1"/>
      </tp>
      <tp t="e">
        <v>#N/A</v>
        <stp/>
        <stp>MGLU3_B_0</stp>
        <stp>DAT</stp>
        <tr r="B17" s="1"/>
      </tp>
      <tp t="e">
        <v>#N/A</v>
        <stp/>
        <stp>BBDC4_B_0</stp>
        <stp>101_psicotrade</stp>
        <tr r="AZ12" s="1"/>
      </tp>
      <tp t="e">
        <v>#N/A</v>
        <stp/>
        <stp>ABEV3_B_0</stp>
        <stp>MES</stp>
        <tr r="AB26" s="1"/>
      </tp>
      <tp t="e">
        <v>#N/A</v>
        <stp/>
        <stp>ABEV3_B_0</stp>
        <stp>101_psicotrade</stp>
        <tr r="AZ26" s="1"/>
      </tp>
      <tp t="e">
        <v>#N/A</v>
        <stp/>
        <stp>ABEV3_B_0</stp>
        <stp>MED</stp>
        <tr r="L26" s="1"/>
      </tp>
      <tp t="e">
        <v>#N/A</v>
        <stp/>
        <stp>RENT3_B_0</stp>
        <stp>FEC</stp>
        <tr r="H13" s="1"/>
      </tp>
      <tp t="e">
        <v>#N/A</v>
        <stp/>
        <stp>ABEV3_B_0</stp>
        <stp>MIN</stp>
        <tr r="G26" s="1"/>
      </tp>
      <tp t="e">
        <v>#N/A</v>
        <stp/>
        <stp>WINFUT_F_0</stp>
        <stp>HOR</stp>
        <tr r="C3" s="2"/>
      </tp>
      <tp t="e">
        <v>#N/A</v>
        <stp/>
        <stp>WDOFUT_F_0</stp>
        <stp>HOR</stp>
        <tr r="C2" s="2"/>
      </tp>
      <tp t="e">
        <v>#N/A</v>
        <stp/>
        <stp>USIM5_B_0</stp>
        <stp>AJA</stp>
        <tr r="W24" s="1"/>
      </tp>
      <tp t="e">
        <v>#N/A</v>
        <stp/>
        <stp>LREN3_B_0</stp>
        <stp>MIN</stp>
        <tr r="G7" s="1"/>
      </tp>
      <tp t="e">
        <v>#N/A</v>
        <stp/>
        <stp>USIM5_B_0</stp>
        <stp>AJU</stp>
        <tr r="V24" s="1"/>
      </tp>
      <tp t="e">
        <v>#N/A</v>
        <stp/>
        <stp>VALE3_B_0</stp>
        <stp>DAT</stp>
        <tr r="B16" s="1"/>
      </tp>
      <tp t="e">
        <v>#N/A</v>
        <stp/>
        <stp>CSNA3_B_0</stp>
        <stp>FEC</stp>
        <tr r="H6" s="1"/>
      </tp>
      <tp t="e">
        <v>#N/A</v>
        <stp/>
        <stp>CIEL3_B_0</stp>
        <stp>MIN</stp>
        <tr r="G8" s="1"/>
      </tp>
      <tp t="e">
        <v>#N/A</v>
        <stp/>
        <stp>CMIG4_B_0</stp>
        <stp>ABE</stp>
        <tr r="E20" s="1"/>
      </tp>
      <tp t="e">
        <v>#N/A</v>
        <stp/>
        <stp>USIM5_B_0</stp>
        <stp>ANO</stp>
        <tr r="AF24" s="1"/>
      </tp>
      <tp t="e">
        <v>#N/A</v>
        <stp/>
        <stp>GOAU4_B_0</stp>
        <stp>GAMA</stp>
        <tr r="AP27" s="1"/>
      </tp>
      <tp t="e">
        <v>#N/A</v>
        <stp/>
        <stp>USIM5_B_0</stp>
        <stp>ABE</stp>
        <tr r="E24" s="1"/>
      </tp>
      <tp t="e">
        <v>#N/A</v>
        <stp/>
        <stp>LREN3_B_0</stp>
        <stp>MAX</stp>
        <tr r="F7" s="1"/>
      </tp>
      <tp t="e">
        <v>#N/A</v>
        <stp/>
        <stp>CIEL3_B_0</stp>
        <stp>MAX</stp>
        <tr r="F8" s="1"/>
      </tp>
      <tp t="e">
        <v>#N/A</v>
        <stp/>
        <stp>CMIG4_B_0</stp>
        <stp>AJU</stp>
        <tr r="V20" s="1"/>
      </tp>
      <tp t="e">
        <v>#N/A</v>
        <stp/>
        <stp>MGLU3_B_0</stp>
        <stp>GAMA</stp>
        <tr r="AP17" s="1"/>
      </tp>
      <tp t="e">
        <v>#N/A</v>
        <stp/>
        <stp>CMIG4_B_0</stp>
        <stp>AJA</stp>
        <tr r="W20" s="1"/>
      </tp>
      <tp t="e">
        <v>#N/A</v>
        <stp/>
        <stp>SUZB3_B_0</stp>
        <stp>RHO</stp>
        <tr r="AR19" s="1"/>
      </tp>
      <tp t="e">
        <v>#N/A</v>
        <stp/>
        <stp>LREN3_B_0</stp>
        <stp>MES</stp>
        <tr r="AB7" s="1"/>
      </tp>
      <tp t="e">
        <v>#N/A</v>
        <stp/>
        <stp>LREN3_B_0</stp>
        <stp>MED</stp>
        <tr r="L7" s="1"/>
      </tp>
      <tp t="e">
        <v>#N/A</v>
        <stp/>
        <stp>IBOV_B_0</stp>
        <stp>NEG</stp>
        <tr r="N23" s="1"/>
      </tp>
      <tp t="e">
        <v>#N/A</v>
        <stp/>
        <stp>BITFUT_F_0</stp>
        <stp>HOR</stp>
        <tr r="C4" s="2"/>
      </tp>
      <tp t="e">
        <v>#N/A</v>
        <stp/>
        <stp>CIEL3_B_0</stp>
        <stp>MES</stp>
        <tr r="AB8" s="1"/>
      </tp>
      <tp t="e">
        <v>#N/A</v>
        <stp/>
        <stp>CMIG4_B_0</stp>
        <stp>ANO</stp>
        <tr r="AF20" s="1"/>
      </tp>
      <tp t="e">
        <v>#N/A</v>
        <stp/>
        <stp>CIEL3_B_0</stp>
        <stp>MED</stp>
        <tr r="L8" s="1"/>
      </tp>
      <tp t="e">
        <v>#N/A</v>
        <stp/>
        <stp>RENT3_B_0</stp>
        <stp>DOBRAR</stp>
        <tr r="AV13" s="1"/>
      </tp>
      <tp t="e">
        <v>#N/A</v>
        <stp/>
        <stp>MGLU3_B_0</stp>
        <stp>VARPTS</stp>
        <tr r="K17" s="1"/>
      </tp>
      <tp t="e">
        <v>#N/A</v>
        <stp/>
        <stp>GGBR4_B_0</stp>
        <stp>VARPTS</stp>
        <tr r="K25" s="1"/>
      </tp>
      <tp t="e">
        <v>#N/A</v>
        <stp/>
        <stp>PETR4_B_0</stp>
        <stp>DOBRAR</stp>
        <tr r="AV22" s="1"/>
      </tp>
      <tp t="e">
        <v>#N/A</v>
        <stp/>
        <stp>VALE3_B_0</stp>
        <stp>EST</stp>
        <tr r="AL16" s="1"/>
      </tp>
      <tp t="e">
        <v>#N/A</v>
        <stp/>
        <stp>VIVT3_B_0</stp>
        <stp>GAMA</stp>
        <tr r="AP3" s="1"/>
      </tp>
      <tp t="e">
        <v>#N/A</v>
        <stp/>
        <stp>ECOR3_B_0</stp>
        <stp>FEC</stp>
        <tr r="H9" s="1"/>
      </tp>
      <tp t="e">
        <v>#N/A</v>
        <stp/>
        <stp>RENT3_B_0</stp>
        <stp>GAMA</stp>
        <tr r="AP13" s="1"/>
      </tp>
      <tp t="e">
        <v>#N/A</v>
        <stp/>
        <stp>BRFS3_B_0</stp>
        <stp>OCP</stp>
        <tr r="R21" s="1"/>
      </tp>
      <tp t="e">
        <v>#N/A</v>
        <stp/>
        <stp>BRAP4_B_0</stp>
        <stp>VEXT</stp>
        <tr r="AY14" s="1"/>
      </tp>
      <tp t="e">
        <v>#N/A</v>
        <stp/>
        <stp>BRAP4_B_0</stp>
        <stp>HOR</stp>
        <tr r="C14" s="1"/>
      </tp>
      <tp t="e">
        <v>#N/A</v>
        <stp/>
        <stp>BBAS3_B_0</stp>
        <stp>HOR</stp>
        <tr r="C15" s="1"/>
      </tp>
      <tp t="e">
        <v>#N/A</v>
        <stp/>
        <stp>GOAU4_B_0</stp>
        <stp>HOR</stp>
        <tr r="C27" s="1"/>
      </tp>
      <tp t="e">
        <v>#N/A</v>
        <stp/>
        <stp>IBOV_B_0</stp>
        <stp>OVD</stp>
        <tr r="S23" s="1"/>
      </tp>
      <tp t="e">
        <v>#N/A</v>
        <stp/>
        <stp>ECOR3_B_0</stp>
        <stp>101_psicotrade</stp>
        <tr r="AZ9" s="1"/>
      </tp>
      <tp t="e">
        <v>#N/A</v>
        <stp/>
        <stp>MGLU3_B_0</stp>
        <stp>EST</stp>
        <tr r="AL17" s="1"/>
      </tp>
      <tp t="e">
        <v>#N/A</v>
        <stp/>
        <stp>BBDC4_B_0</stp>
        <stp>MES</stp>
        <tr r="AB12" s="1"/>
      </tp>
      <tp t="e">
        <v>#N/A</v>
        <stp/>
        <stp>BBDC4_B_0</stp>
        <stp>MED</stp>
        <tr r="L12" s="1"/>
      </tp>
      <tp t="e">
        <v>#N/A</v>
        <stp/>
        <stp>SUZB3_B_0</stp>
        <stp>SEM</stp>
        <tr r="AA19" s="1"/>
      </tp>
      <tp t="e">
        <v>#N/A</v>
        <stp/>
        <stp>BRFS3_B_0</stp>
        <stp>OVD</stp>
        <tr r="S21" s="1"/>
      </tp>
      <tp t="e">
        <v>#N/A</v>
        <stp/>
        <stp>BBDC4_B_0</stp>
        <stp>MAX</stp>
        <tr r="F12" s="1"/>
      </tp>
      <tp t="e">
        <v>#N/A</v>
        <stp/>
        <stp>CMIG4_B_0</stp>
        <stp>TRIM</stp>
        <tr r="AG20" s="1"/>
      </tp>
      <tp t="e">
        <v>#N/A</v>
        <stp/>
        <stp>BRAP4_B_0</stp>
        <stp>VEGA</stp>
        <tr r="AS14" s="1"/>
      </tp>
      <tp t="e">
        <v>#N/A</v>
        <stp/>
        <stp>IBOV_B_0</stp>
        <stp>OCP</stp>
        <tr r="R23" s="1"/>
      </tp>
      <tp t="e">
        <v>#N/A</v>
        <stp/>
        <stp>BBDC4_B_0</stp>
        <stp>MIN</stp>
        <tr r="G12" s="1"/>
      </tp>
      <tp t="e">
        <v>#N/A</v>
        <stp/>
        <stp>GFSA3_B_0</stp>
        <stp>VARPTS</stp>
        <tr r="K10" s="1"/>
      </tp>
      <tp t="e">
        <v>#N/A</v>
        <stp/>
        <stp>WDOFUT_F_0</stp>
        <stp>GAMA</stp>
        <tr r="AP2" s="2"/>
      </tp>
      <tp t="e">
        <v>#N/A</v>
        <stp/>
        <stp>WINFUT_F_0</stp>
        <stp>GAMA</stp>
        <tr r="AP3" s="2"/>
      </tp>
      <tp t="e">
        <v>#N/A</v>
        <stp/>
        <stp>WINFUT_F_0</stp>
        <stp>NEG</stp>
        <tr r="N3" s="2"/>
      </tp>
      <tp t="e">
        <v>#N/A</v>
        <stp/>
        <stp>WDOFUT_F_0</stp>
        <stp>NEG</stp>
        <tr r="N2" s="2"/>
      </tp>
      <tp t="e">
        <v>#N/A</v>
        <stp/>
        <stp>GOAU4_B_0</stp>
        <stp>OCP</stp>
        <tr r="R27" s="1"/>
      </tp>
      <tp t="e">
        <v>#N/A</v>
        <stp/>
        <stp>BRAP4_B_0</stp>
        <stp>OCP</stp>
        <tr r="R14" s="1"/>
      </tp>
      <tp t="e">
        <v>#N/A</v>
        <stp/>
        <stp>BBAS3_B_0</stp>
        <stp>OCP</stp>
        <tr r="R15" s="1"/>
      </tp>
      <tp t="e">
        <v>#N/A</v>
        <stp/>
        <stp>ECOR3_B_0</stp>
        <stp>ABE</stp>
        <tr r="E9" s="1"/>
      </tp>
      <tp t="e">
        <v>#N/A</v>
        <stp/>
        <stp>BRFS3_B_0</stp>
        <stp>HOR</stp>
        <tr r="C21" s="1"/>
      </tp>
      <tp t="e">
        <v>#N/A</v>
        <stp/>
        <stp>ECOR3_B_0</stp>
        <stp>ANO</stp>
        <tr r="AF9" s="1"/>
      </tp>
      <tp t="e">
        <v>#N/A</v>
        <stp/>
        <stp>ECOR3_B_0</stp>
        <stp>AJU</stp>
        <tr r="V9" s="1"/>
      </tp>
      <tp t="e">
        <v>#N/A</v>
        <stp/>
        <stp>ECOR3_B_0</stp>
        <stp>AJA</stp>
        <tr r="W9" s="1"/>
      </tp>
      <tp t="e">
        <v>#N/A</v>
        <stp/>
        <stp>BRAP4_B_0</stp>
        <stp>OVD</stp>
        <tr r="S14" s="1"/>
      </tp>
      <tp t="e">
        <v>#N/A</v>
        <stp/>
        <stp>USIM5_B_0</stp>
        <stp>DELTA</stp>
        <tr r="AO24" s="1"/>
      </tp>
      <tp t="e">
        <v>#N/A</v>
        <stp/>
        <stp>BBAS3_B_0</stp>
        <stp>OVD</stp>
        <tr r="S15" s="1"/>
      </tp>
      <tp t="e">
        <v>#N/A</v>
        <stp/>
        <stp>BRFS3_B_0</stp>
        <stp>GAMA</stp>
        <tr r="AP21" s="1"/>
      </tp>
      <tp t="e">
        <v>#N/A</v>
        <stp/>
        <stp>BBAS3_B_0</stp>
        <stp>GAMA</stp>
        <tr r="AP15" s="1"/>
      </tp>
      <tp t="e">
        <v>#N/A</v>
        <stp/>
        <stp>BITFUT_F_0</stp>
        <stp>NEG</stp>
        <tr r="N4" s="2"/>
      </tp>
      <tp t="e">
        <v>#N/A</v>
        <stp/>
        <stp>GOAU4_B_0</stp>
        <stp>OVD</stp>
        <tr r="S27" s="1"/>
      </tp>
      <tp t="e">
        <v>#N/A</v>
        <stp/>
        <stp>RENT3_B_0</stp>
        <stp>SEMES</stp>
        <tr r="AH13" s="1"/>
      </tp>
      <tp t="e">
        <v>#N/A</v>
        <stp/>
        <stp>IBOV_B_0</stp>
        <stp>HOR</stp>
        <tr r="C23" s="1"/>
      </tp>
      <tp t="e">
        <v>#N/A</v>
        <stp/>
        <stp>SUZB3_B_0</stp>
        <stp>DELTA</stp>
        <tr r="AO19" s="1"/>
      </tp>
      <tp t="e">
        <v>#N/A</v>
        <stp/>
        <stp>ECOR3_B_0</stp>
        <stp>DOBRAR</stp>
        <tr r="AV9" s="1"/>
      </tp>
      <tp t="e">
        <v>#N/A</v>
        <stp/>
        <stp>VALE3_B_0</stp>
        <stp>VARPTS</stp>
        <tr r="K16" s="1"/>
      </tp>
      <tp t="e">
        <v>#N/A</v>
        <stp/>
        <stp>RENT3_B_0</stp>
        <stp>ABE</stp>
        <tr r="E13" s="1"/>
      </tp>
      <tp t="e">
        <v>#N/A</v>
        <stp/>
        <stp>BBAS3_B_0</stp>
        <stp>NEG</stp>
        <tr r="N15" s="1"/>
      </tp>
      <tp t="e">
        <v>#N/A</v>
        <stp/>
        <stp>USIM5_B_0</stp>
        <stp>SEMES</stp>
        <tr r="AH24" s="1"/>
      </tp>
      <tp t="e">
        <v>#N/A</v>
        <stp/>
        <stp>GGBR4_B_0</stp>
        <stp>MES</stp>
        <tr r="AB25" s="1"/>
      </tp>
      <tp t="e">
        <v>#N/A</v>
        <stp/>
        <stp>EMBR3_B_0</stp>
        <stp>MES</stp>
        <tr r="AB2" s="1"/>
      </tp>
      <tp t="e">
        <v>#N/A</v>
        <stp/>
        <stp>PETR4_B_0</stp>
        <stp>GAMA</stp>
        <tr r="AP22" s="1"/>
      </tp>
      <tp t="e">
        <v>#N/A</v>
        <stp/>
        <stp>EMBR3_B_0</stp>
        <stp>MED</stp>
        <tr r="L2" s="1"/>
      </tp>
      <tp t="e">
        <v>#N/A</v>
        <stp/>
        <stp>GGBR4_B_0</stp>
        <stp>MED</stp>
        <tr r="L25" s="1"/>
      </tp>
      <tp t="e">
        <v>#N/A</v>
        <stp/>
        <stp>ABEV3_B_0</stp>
        <stp>VEXT</stp>
        <tr r="AY26" s="1"/>
      </tp>
      <tp t="e">
        <v>#N/A</v>
        <stp/>
        <stp>MGLU3_B_0</stp>
        <stp>CAB</stp>
        <tr r="AK17" s="1"/>
      </tp>
      <tp t="e">
        <v>#N/A</v>
        <stp/>
        <stp>BRAP4_B_0</stp>
        <stp>NEG</stp>
        <tr r="N14" s="1"/>
      </tp>
      <tp t="e">
        <v>#N/A</v>
        <stp/>
        <stp>GGBR4_B_0</stp>
        <stp>MAX</stp>
        <tr r="F25" s="1"/>
      </tp>
      <tp t="e">
        <v>#N/A</v>
        <stp/>
        <stp>EMBR3_B_0</stp>
        <stp>MAX</stp>
        <tr r="F2" s="1"/>
      </tp>
      <tp t="e">
        <v>#N/A</v>
        <stp/>
        <stp>BITFUT_F_0</stp>
        <stp>OVD</stp>
        <tr r="S4" s="2"/>
      </tp>
      <tp t="e">
        <v>#N/A</v>
        <stp/>
        <stp>WINFUT_F_0</stp>
        <stp>OCP</stp>
        <tr r="R3" s="2"/>
      </tp>
      <tp t="e">
        <v>#N/A</v>
        <stp/>
        <stp>WDOFUT_F_0</stp>
        <stp>OCP</stp>
        <tr r="R2" s="2"/>
      </tp>
      <tp t="e">
        <v>#N/A</v>
        <stp/>
        <stp>GOAU4_B_0</stp>
        <stp>NEG</stp>
        <tr r="N27" s="1"/>
      </tp>
      <tp t="e">
        <v>#N/A</v>
        <stp/>
        <stp>SUZB3_B_0</stp>
        <stp>SEMES</stp>
        <tr r="AH19" s="1"/>
      </tp>
      <tp t="e">
        <v>#N/A</v>
        <stp/>
        <stp>RENT3_B_0</stp>
        <stp>DELTA</stp>
        <tr r="AO13" s="1"/>
      </tp>
      <tp t="e">
        <v>#N/A</v>
        <stp/>
        <stp>RENT3_B_0</stp>
        <stp>AJA</stp>
        <tr r="W13" s="1"/>
      </tp>
      <tp t="e">
        <v>#N/A</v>
        <stp/>
        <stp>RENT3_B_0</stp>
        <stp>AJU</stp>
        <tr r="V13" s="1"/>
      </tp>
      <tp t="e">
        <v>#N/A</v>
        <stp/>
        <stp>RENT3_B_0</stp>
        <stp>ANO</stp>
        <tr r="AF13" s="1"/>
      </tp>
      <tp t="e">
        <v>#N/A</v>
        <stp/>
        <stp>EMBR3_B_0</stp>
        <stp>MIN</stp>
        <tr r="G2" s="1"/>
      </tp>
      <tp t="e">
        <v>#N/A</v>
        <stp/>
        <stp>GGBR4_B_0</stp>
        <stp>MIN</stp>
        <tr r="G25" s="1"/>
      </tp>
      <tp t="e">
        <v>#N/A</v>
        <stp/>
        <stp>RENT3_B_0</stp>
        <stp>101_psicotrade</stp>
        <tr r="AZ13" s="1"/>
      </tp>
      <tp t="e">
        <v>#N/A</v>
        <stp/>
        <stp>B3SA3_B_0</stp>
        <stp>TRIM</stp>
        <tr r="AG28" s="1"/>
      </tp>
      <tp t="e">
        <v>#N/A</v>
        <stp/>
        <stp>CSNA3_B_0</stp>
        <stp>TRIM</stp>
        <tr r="AG6" s="1"/>
      </tp>
      <tp t="e">
        <v>#N/A</v>
        <stp/>
        <stp>VALE3_B_0</stp>
        <stp>CAB</stp>
        <tr r="AK16" s="1"/>
      </tp>
      <tp t="e">
        <v>#N/A</v>
        <stp/>
        <stp>WINFUT_F_0</stp>
        <stp>OVD</stp>
        <tr r="S3" s="2"/>
      </tp>
      <tp t="e">
        <v>#N/A</v>
        <stp/>
        <stp>WDOFUT_F_0</stp>
        <stp>OVD</stp>
        <tr r="S2" s="2"/>
      </tp>
      <tp t="e">
        <v>#N/A</v>
        <stp/>
        <stp>BITFUT_F_0</stp>
        <stp>OCP</stp>
        <tr r="R4" s="2"/>
      </tp>
      <tp t="e">
        <v>#N/A</v>
        <stp/>
        <stp>ECOR3_B_0</stp>
        <stp>GAMA</stp>
        <tr r="AP9" s="1"/>
      </tp>
      <tp t="e">
        <v>#N/A</v>
        <stp/>
        <stp>EMBR3_B_0</stp>
        <stp>GAMA</stp>
        <tr r="AP2" s="1"/>
      </tp>
      <tp t="e">
        <v>#N/A</v>
        <stp/>
        <stp>PETR4_B_0</stp>
        <stp>101_psicotrade</stp>
        <tr r="AZ22" s="1"/>
      </tp>
      <tp t="e">
        <v>#N/A</v>
        <stp/>
        <stp>CMIG4_B_0</stp>
        <stp>FEC</stp>
        <tr r="H20" s="1"/>
      </tp>
      <tp t="e">
        <v>#N/A</v>
        <stp/>
        <stp>ITUB4_B_0</stp>
        <stp>IMPVT</stp>
        <tr r="AN18" s="1"/>
      </tp>
      <tp t="e">
        <v>#N/A</v>
        <stp/>
        <stp>ITSA4_B_0</stp>
        <stp>IMPVT</stp>
        <tr r="AN4" s="1"/>
      </tp>
      <tp t="e">
        <v>#N/A</v>
        <stp/>
        <stp>GFSA3_B_0</stp>
        <stp>TRIM</stp>
        <tr r="AG10" s="1"/>
      </tp>
      <tp t="e">
        <v>#N/A</v>
        <stp/>
        <stp>CSNA3_B_0</stp>
        <stp>ABE</stp>
        <tr r="E6" s="1"/>
      </tp>
      <tp t="e">
        <v>#N/A</v>
        <stp/>
        <stp>GGBR4_B_0</stp>
        <stp>GAMA</stp>
        <tr r="AP25" s="1"/>
      </tp>
      <tp t="e">
        <v>#N/A</v>
        <stp/>
        <stp>SUZB3_B_0</stp>
        <stp>ULT</stp>
        <tr r="D19" s="1"/>
      </tp>
      <tp t="e">
        <v>#N/A</v>
        <stp/>
        <stp>CSNA3_B_0</stp>
        <stp>ANO</stp>
        <tr r="AF6" s="1"/>
      </tp>
      <tp t="e">
        <v>#N/A</v>
        <stp/>
        <stp>ITSA4_B_0</stp>
        <stp>TRIM</stp>
        <tr r="AG4" s="1"/>
      </tp>
      <tp t="e">
        <v>#N/A</v>
        <stp/>
        <stp>CSNA3_B_0</stp>
        <stp>AJU</stp>
        <tr r="V6" s="1"/>
      </tp>
      <tp t="e">
        <v>#N/A</v>
        <stp/>
        <stp>ABEV3_B_0</stp>
        <stp>VEGA</stp>
        <tr r="AS26" s="1"/>
      </tp>
      <tp t="e">
        <v>#N/A</v>
        <stp/>
        <stp>CSNA3_B_0</stp>
        <stp>AJA</stp>
        <tr r="W6" s="1"/>
      </tp>
      <tp t="e">
        <v>#N/A</v>
        <stp/>
        <stp>USIM5_B_0</stp>
        <stp>FEC</stp>
        <tr r="H24" s="1"/>
      </tp>
      <tp t="e">
        <v>#N/A</v>
        <stp/>
        <stp>ABEV3_B_0</stp>
        <stp>DOBRAR</stp>
        <tr r="AV26" s="1"/>
      </tp>
      <tp t="e">
        <v>#N/A</v>
        <stp/>
        <stp>BBDC4_B_0</stp>
        <stp>DOBRAR</stp>
        <tr r="AV12" s="1"/>
      </tp>
      <tp t="e">
        <v>#N/A</v>
        <stp/>
        <stp>BBAS3_B_0</stp>
        <stp>DOBRAR</stp>
        <tr r="AV15" s="1"/>
      </tp>
      <tp t="e">
        <v>#N/A</v>
        <stp/>
        <stp>BBAS3_B_0</stp>
        <stp>MES</stp>
        <tr r="AB15" s="1"/>
      </tp>
      <tp t="e">
        <v>#N/A</v>
        <stp/>
        <stp>BBAS3_B_0</stp>
        <stp>MED</stp>
        <tr r="L15" s="1"/>
      </tp>
      <tp t="e">
        <v>#N/A</v>
        <stp/>
        <stp>SUZB3_B_0</stp>
        <stp>TRIM</stp>
        <tr r="AG19" s="1"/>
      </tp>
      <tp t="e">
        <v>#N/A</v>
        <stp/>
        <stp>EMBR3_B_0</stp>
        <stp>NEG</stp>
        <tr r="N2" s="1"/>
      </tp>
      <tp t="e">
        <v>#N/A</v>
        <stp/>
        <stp>GGBR4_B_0</stp>
        <stp>NEG</stp>
        <tr r="N25" s="1"/>
      </tp>
      <tp t="e">
        <v>#N/A</v>
        <stp/>
        <stp>GOAU4_B_0</stp>
        <stp>MAX</stp>
        <tr r="F27" s="1"/>
      </tp>
      <tp t="e">
        <v>#N/A</v>
        <stp/>
        <stp>CMIG4_B_0</stp>
        <stp>EST</stp>
        <tr r="AL20" s="1"/>
      </tp>
      <tp t="e">
        <v>#N/A</v>
        <stp/>
        <stp>GOAU4_B_0</stp>
        <stp>VEXT</stp>
        <tr r="AY27" s="1"/>
      </tp>
      <tp t="e">
        <v>#N/A</v>
        <stp/>
        <stp>BRAP4_B_0</stp>
        <stp>MES</stp>
        <tr r="AB14" s="1"/>
      </tp>
      <tp t="e">
        <v>#N/A</v>
        <stp/>
        <stp>BRAP4_B_0</stp>
        <stp>MED</stp>
        <tr r="L14" s="1"/>
      </tp>
      <tp t="e">
        <v>#N/A</v>
        <stp/>
        <stp>BBAS3_B_0</stp>
        <stp>MAX</stp>
        <tr r="F15" s="1"/>
      </tp>
      <tp t="e">
        <v>#N/A</v>
        <stp/>
        <stp>SUZB3_B_0</stp>
        <stp>VPJ</stp>
        <tr r="Z19" s="1"/>
      </tp>
      <tp t="e">
        <v>#N/A</v>
        <stp/>
        <stp>ECOR3_B_0</stp>
        <stp>CAB</stp>
        <tr r="AK9" s="1"/>
      </tp>
      <tp t="e">
        <v>#N/A</v>
        <stp/>
        <stp>GOAU4_B_0</stp>
        <stp>MES</stp>
        <tr r="AB27" s="1"/>
      </tp>
      <tp t="e">
        <v>#N/A</v>
        <stp/>
        <stp>GOAU4_B_0</stp>
        <stp>MED</stp>
        <tr r="L27" s="1"/>
      </tp>
      <tp t="e">
        <v>#N/A</v>
        <stp/>
        <stp>BRAP4_B_0</stp>
        <stp>MAX</stp>
        <tr r="F14" s="1"/>
      </tp>
      <tp t="e">
        <v>#N/A</v>
        <stp/>
        <stp>MGLU3_B_0</stp>
        <stp>IMPVT</stp>
        <tr r="AN17" s="1"/>
      </tp>
      <tp t="e">
        <v>#N/A</v>
        <stp/>
        <stp>USIM5_B_0</stp>
        <stp>EST</stp>
        <tr r="AL24" s="1"/>
      </tp>
      <tp t="e">
        <v>#N/A</v>
        <stp/>
        <stp>GOAU4_B_0</stp>
        <stp>MIN</stp>
        <tr r="G27" s="1"/>
      </tp>
      <tp t="e">
        <v>#N/A</v>
        <stp/>
        <stp>BBAS3_B_0</stp>
        <stp>MIN</stp>
        <tr r="G15" s="1"/>
      </tp>
      <tp t="e">
        <v>#N/A</v>
        <stp/>
        <stp>MGLU3_B_0</stp>
        <stp>VEXT</stp>
        <tr r="AY17" s="1"/>
      </tp>
      <tp t="e">
        <v>#N/A</v>
        <stp/>
        <stp>BRAP4_B_0</stp>
        <stp>MIN</stp>
        <tr r="G14" s="1"/>
      </tp>
      <tp t="e">
        <v>#N/A</v>
        <stp/>
        <stp>SUZB3_B_0</stp>
        <stp>VEN</stp>
        <tr r="AI19" s="1"/>
      </tp>
      <tp t="e">
        <v>#N/A</v>
        <stp/>
        <stp>MGLU3_B_0</stp>
        <stp>VEGA</stp>
        <tr r="AS17" s="1"/>
      </tp>
      <tp t="e">
        <v>#N/A</v>
        <stp/>
        <stp>MRVE3_B_0</stp>
        <stp>IMPVT</stp>
        <tr r="AN11" s="1"/>
      </tp>
      <tp t="e">
        <v>#N/A</v>
        <stp/>
        <stp>GFSA3_B_0</stp>
        <stp>101_psicotrade</stp>
        <tr r="AZ10" s="1"/>
      </tp>
      <tp t="e">
        <v>#N/A</v>
        <stp/>
        <stp>SUZB3_B_0</stp>
        <stp>VAL</stp>
        <tr r="AJ19" s="1"/>
      </tp>
      <tp t="e">
        <v>#N/A</v>
        <stp/>
        <stp>SUZB3_B_0</stp>
        <stp>VAR</stp>
        <tr r="J19" s="1"/>
      </tp>
      <tp t="e">
        <v>#N/A</v>
        <stp/>
        <stp>BBDC4_B_0</stp>
        <stp>HOR</stp>
        <tr r="C12" s="1"/>
      </tp>
      <tp t="e">
        <v>#N/A</v>
        <stp/>
        <stp>SUZB3_B_0</stp>
        <stp>VOL</stp>
        <tr r="Q19" s="1"/>
      </tp>
      <tp t="e">
        <v>#N/A</v>
        <stp/>
        <stp>SUZB3_B_0</stp>
        <stp>VOC</stp>
        <tr r="T19" s="1"/>
      </tp>
      <tp t="e">
        <v>#N/A</v>
        <stp/>
        <stp>SUZB3_B_0</stp>
        <stp>VOV</stp>
        <tr r="U19" s="1"/>
      </tp>
      <tp t="e">
        <v>#N/A</v>
        <stp/>
        <stp>ITUB4_B_0</stp>
        <stp>TRIM</stp>
        <tr r="AG18" s="1"/>
      </tp>
      <tp t="e">
        <v>#N/A</v>
        <stp/>
        <stp>GOAU4_B_0</stp>
        <stp>VEGA</stp>
        <tr r="AS27" s="1"/>
      </tp>
      <tp t="e">
        <v>#N/A</v>
        <stp/>
        <stp>SUZB3_B_0</stp>
        <stp>VIA</stp>
        <tr r="AT19" s="1"/>
      </tp>
      <tp t="e">
        <v>#N/A</v>
        <stp/>
        <stp>SUZB3_B_0</stp>
        <stp>VIB</stp>
        <tr r="AU19" s="1"/>
      </tp>
      <tp t="e">
        <v>#N/A</v>
        <stp/>
        <stp>VALE3_B_0</stp>
        <stp>DOBRAR</stp>
        <tr r="AV16" s="1"/>
      </tp>
      <tp t="e">
        <v>#N/A</v>
        <stp/>
        <stp>ECOR3_B_0</stp>
        <stp>VARPTS</stp>
        <tr r="K9" s="1"/>
      </tp>
      <tp t="e">
        <v>#N/A</v>
        <stp/>
        <stp>WINFUT_F_0</stp>
        <stp>MED</stp>
        <tr r="L3" s="2"/>
      </tp>
      <tp t="e">
        <v>#N/A</v>
        <stp/>
        <stp>WDOFUT_F_0</stp>
        <stp>MED</stp>
        <tr r="L2" s="2"/>
      </tp>
      <tp t="e">
        <v>#N/A</v>
        <stp/>
        <stp>WINFUT_F_0</stp>
        <stp>MES</stp>
        <tr r="AB3" s="2"/>
      </tp>
      <tp t="e">
        <v>#N/A</v>
        <stp/>
        <stp>WDOFUT_F_0</stp>
        <stp>MES</stp>
        <tr r="AB2" s="2"/>
      </tp>
      <tp t="e">
        <v>#N/A</v>
        <stp/>
        <stp>MGLU3_B_0</stp>
        <stp>ABE</stp>
        <tr r="E17" s="1"/>
      </tp>
      <tp t="e">
        <v>#N/A</v>
        <stp/>
        <stp>GGBR4_B_0</stp>
        <stp>101_psicotrade</stp>
        <tr r="AZ25" s="1"/>
      </tp>
      <tp t="e">
        <v>#N/A</v>
        <stp/>
        <stp>RENT3_B_0</stp>
        <stp>CAB</stp>
        <tr r="AK13" s="1"/>
      </tp>
      <tp t="e">
        <v>#N/A</v>
        <stp/>
        <stp>WDOFUT_F_0</stp>
        <stp>MAX</stp>
        <tr r="F2" s="2"/>
      </tp>
      <tp t="e">
        <v>#N/A</v>
        <stp/>
        <stp>WINFUT_F_0</stp>
        <stp>MAX</stp>
        <tr r="F3" s="2"/>
      </tp>
      <tp t="e">
        <v>#N/A</v>
        <stp/>
        <stp>GGBR4_B_0</stp>
        <stp>OCP</stp>
        <tr r="R25" s="1"/>
      </tp>
      <tp t="e">
        <v>#N/A</v>
        <stp/>
        <stp>EMBR3_B_0</stp>
        <stp>OCP</stp>
        <tr r="R2" s="1"/>
      </tp>
      <tp t="e">
        <v>#N/A</v>
        <stp/>
        <stp>MGLU3_B_0</stp>
        <stp>AJU</stp>
        <tr r="V17" s="1"/>
      </tp>
      <tp t="e">
        <v>#N/A</v>
        <stp/>
        <stp>MGLU3_B_0</stp>
        <stp>AJA</stp>
        <tr r="W17" s="1"/>
      </tp>
      <tp t="e">
        <v>#N/A</v>
        <stp/>
        <stp>VIVT3_B_0</stp>
        <stp>VEGA</stp>
        <tr r="AS3" s="1"/>
      </tp>
      <tp t="e">
        <v>#N/A</v>
        <stp/>
        <stp>WDOFUT_F_0</stp>
        <stp>MIN</stp>
        <tr r="G2" s="2"/>
      </tp>
      <tp t="e">
        <v>#N/A</v>
        <stp/>
        <stp>WINFUT_F_0</stp>
        <stp>MIN</stp>
        <tr r="G3" s="2"/>
      </tp>
      <tp t="e">
        <v>#N/A</v>
        <stp/>
        <stp>MGLU3_B_0</stp>
        <stp>101_psicotrade</stp>
        <tr r="AZ17" s="1"/>
      </tp>
      <tp t="e">
        <v>#N/A</v>
        <stp/>
        <stp>MGLU3_B_0</stp>
        <stp>ANO</stp>
        <tr r="AF17" s="1"/>
      </tp>
      <tp t="e">
        <v>#N/A</v>
        <stp/>
        <stp>RENT3_B_0</stp>
        <stp>VEGA</stp>
        <tr r="AS13" s="1"/>
      </tp>
      <tp t="e">
        <v>#N/A</v>
        <stp/>
        <stp>ABEV3_B_0</stp>
        <stp>HOR</stp>
        <tr r="C26" s="1"/>
      </tp>
      <tp t="e">
        <v>#N/A</v>
        <stp/>
        <stp>CMIG4_B_0</stp>
        <stp>DAT</stp>
        <tr r="B20" s="1"/>
      </tp>
      <tp t="e">
        <v>#N/A</v>
        <stp/>
        <stp>BITFUT_F_0</stp>
        <stp>MAX</stp>
        <tr r="F4" s="2"/>
      </tp>
      <tp t="e">
        <v>#N/A</v>
        <stp/>
        <stp>RENT3_B_0</stp>
        <stp>VEXT</stp>
        <tr r="AY13" s="1"/>
      </tp>
      <tp t="e">
        <v>#N/A</v>
        <stp/>
        <stp>VALE3_B_0</stp>
        <stp>ABE</stp>
        <tr r="E16" s="1"/>
      </tp>
      <tp t="e">
        <v>#N/A</v>
        <stp/>
        <stp>EMBR3_B_0</stp>
        <stp>OVD</stp>
        <tr r="S2" s="1"/>
      </tp>
      <tp t="e">
        <v>#N/A</v>
        <stp/>
        <stp>GGBR4_B_0</stp>
        <stp>OVD</stp>
        <tr r="S25" s="1"/>
      </tp>
      <tp t="e">
        <v>#N/A</v>
        <stp/>
        <stp>LREN3_B_0</stp>
        <stp>IMPVT</stp>
        <tr r="AN7" s="1"/>
      </tp>
      <tp t="e">
        <v>#N/A</v>
        <stp/>
        <stp>BRAP4_B_0</stp>
        <stp>GAMA</stp>
        <tr r="AP14" s="1"/>
      </tp>
      <tp t="e">
        <v>#N/A</v>
        <stp/>
        <stp>BITFUT_F_0</stp>
        <stp>MED</stp>
        <tr r="L4" s="2"/>
      </tp>
      <tp t="e">
        <v>#N/A</v>
        <stp/>
        <stp>BITFUT_F_0</stp>
        <stp>MES</stp>
        <tr r="AB4" s="2"/>
      </tp>
      <tp t="e">
        <v>#N/A</v>
        <stp/>
        <stp>VIVT3_B_0</stp>
        <stp>VEXT</stp>
        <tr r="AY3" s="1"/>
      </tp>
      <tp t="e">
        <v>#N/A</v>
        <stp/>
        <stp>CIEL3_B_0</stp>
        <stp>HOR</stp>
        <tr r="C8" s="1"/>
      </tp>
      <tp t="e">
        <v>#N/A</v>
        <stp/>
        <stp>CSNA3_B_0</stp>
        <stp>CAB</stp>
        <tr r="AK6" s="1"/>
      </tp>
      <tp t="e">
        <v>#N/A</v>
        <stp/>
        <stp>LREN3_B_0</stp>
        <stp>HOR</stp>
        <tr r="C7" s="1"/>
      </tp>
      <tp t="e">
        <v>#N/A</v>
        <stp/>
        <stp>BBDC4_B_0</stp>
        <stp>TRIM</stp>
        <tr r="AG12" s="1"/>
      </tp>
      <tp t="e">
        <v>#N/A</v>
        <stp/>
        <stp>BITFUT_F_0</stp>
        <stp>MIN</stp>
        <tr r="G4" s="2"/>
      </tp>
      <tp t="e">
        <v>#N/A</v>
        <stp/>
        <stp>VALE3_B_0</stp>
        <stp>AJA</stp>
        <tr r="W16" s="1"/>
      </tp>
      <tp t="e">
        <v>#N/A</v>
        <stp/>
        <stp>VALE3_B_0</stp>
        <stp>AJU</stp>
        <tr r="V16" s="1"/>
      </tp>
      <tp t="e">
        <v>#N/A</v>
        <stp/>
        <stp>USIM5_B_0</stp>
        <stp>DAT</stp>
        <tr r="B24" s="1"/>
      </tp>
      <tp t="e">
        <v>#N/A</v>
        <stp/>
        <stp>VALE3_B_0</stp>
        <stp>ANO</stp>
        <tr r="AF16" s="1"/>
      </tp>
      <tp t="e">
        <v>#N/A</v>
        <stp/>
        <stp>BBAS3_B_0</stp>
        <stp>VARPTS</stp>
        <tr r="K15" s="1"/>
      </tp>
      <tp t="e">
        <v>#N/A</v>
        <stp/>
        <stp>BBDC4_B_0</stp>
        <stp>VARPTS</stp>
        <tr r="K12" s="1"/>
      </tp>
      <tp t="e">
        <v>#N/A</v>
        <stp/>
        <stp>ABEV3_B_0</stp>
        <stp>VARPTS</stp>
        <tr r="K26" s="1"/>
      </tp>
      <tp t="e">
        <v>#N/A</v>
        <stp/>
        <stp>PETR4_B_0</stp>
        <stp>VEN</stp>
        <tr r="AI22" s="1"/>
      </tp>
      <tp t="e">
        <v>#N/A</v>
        <stp/>
        <stp>CYRE3_B_0</stp>
        <stp>PRT</stp>
        <tr r="X5" s="1"/>
      </tp>
      <tp t="e">
        <v>#N/A</v>
        <stp/>
        <stp>ECOR3_B_0</stp>
        <stp>MES</stp>
        <tr r="AB9" s="1"/>
      </tp>
      <tp t="e">
        <v>#N/A</v>
        <stp/>
        <stp>ECOR3_B_0</stp>
        <stp>MED</stp>
        <tr r="L9" s="1"/>
      </tp>
      <tp t="e">
        <v>#N/A</v>
        <stp/>
        <stp>GFSA3_B_0</stp>
        <stp>QUL</stp>
        <tr r="O10" s="1"/>
      </tp>
      <tp t="e">
        <v>#N/A</v>
        <stp/>
        <stp>B3SA3_B_0</stp>
        <stp>QUL</stp>
        <tr r="O28" s="1"/>
      </tp>
      <tp t="e">
        <v>#N/A</v>
        <stp/>
        <stp>ITSA4_B_0</stp>
        <stp>QUL</stp>
        <tr r="O4" s="1"/>
      </tp>
      <tp t="e">
        <v>#N/A</v>
        <stp/>
        <stp>GOAU4_B_0</stp>
        <stp>CAB</stp>
        <tr r="AK27" s="1"/>
      </tp>
      <tp t="e">
        <v>#N/A</v>
        <stp/>
        <stp>ITSA4_B_0</stp>
        <stp>QTT</stp>
        <tr r="P4" s="1"/>
      </tp>
      <tp t="e">
        <v>#N/A</v>
        <stp/>
        <stp>GFSA3_B_0</stp>
        <stp>QTT</stp>
        <tr r="P10" s="1"/>
      </tp>
      <tp t="e">
        <v>#N/A</v>
        <stp/>
        <stp>B3SA3_B_0</stp>
        <stp>QTT</stp>
        <tr r="P28" s="1"/>
      </tp>
      <tp t="e">
        <v>#N/A</v>
        <stp/>
        <stp>ITSA4_B_0</stp>
        <stp>QTE</stp>
        <tr r="Y4" s="1"/>
      </tp>
      <tp t="e">
        <v>#N/A</v>
        <stp/>
        <stp>GFSA3_B_0</stp>
        <stp>QTE</stp>
        <tr r="Y10" s="1"/>
      </tp>
      <tp t="e">
        <v>#N/A</v>
        <stp/>
        <stp>B3SA3_B_0</stp>
        <stp>QTE</stp>
        <tr r="Y28" s="1"/>
      </tp>
      <tp t="e">
        <v>#N/A</v>
        <stp/>
        <stp>VALE3_B_0</stp>
        <stp>THETA</stp>
        <tr r="AQ16" s="1"/>
      </tp>
      <tp t="e">
        <v>#N/A</v>
        <stp/>
        <stp>BRFS3_B_0</stp>
        <stp>DAT</stp>
        <tr r="B21" s="1"/>
      </tp>
      <tp t="e">
        <v>#N/A</v>
        <stp/>
        <stp>BBAS3_B_0</stp>
        <stp>CAB</stp>
        <tr r="AK15" s="1"/>
      </tp>
      <tp t="e">
        <v>#N/A</v>
        <stp/>
        <stp>PETR4_B_0</stp>
        <stp>VAL</stp>
        <tr r="AJ22" s="1"/>
      </tp>
      <tp t="e">
        <v>#N/A</v>
        <stp/>
        <stp>ECOR3_B_0</stp>
        <stp>MAX</stp>
        <tr r="F9" s="1"/>
      </tp>
      <tp t="e">
        <v>#N/A</v>
        <stp/>
        <stp>PETR4_B_0</stp>
        <stp>VAR</stp>
        <tr r="J22" s="1"/>
      </tp>
      <tp t="e">
        <v>#N/A</v>
        <stp/>
        <stp>MGLU3_B_0</stp>
        <stp>NEG</stp>
        <tr r="N17" s="1"/>
      </tp>
      <tp t="e">
        <v>#N/A</v>
        <stp/>
        <stp>BRAP4_B_0</stp>
        <stp>CAB</stp>
        <tr r="AK14" s="1"/>
      </tp>
      <tp t="e">
        <v>#N/A</v>
        <stp/>
        <stp>CIEL3_B_0</stp>
        <stp>IMPVT</stp>
        <tr r="AN8" s="1"/>
      </tp>
      <tp t="e">
        <v>#N/A</v>
        <stp/>
        <stp>PETR4_B_0</stp>
        <stp>VOL</stp>
        <tr r="Q22" s="1"/>
      </tp>
      <tp t="e">
        <v>#N/A</v>
        <stp/>
        <stp>PETR4_B_0</stp>
        <stp>VOC</stp>
        <tr r="T22" s="1"/>
      </tp>
      <tp t="e">
        <v>#N/A</v>
        <stp/>
        <stp>PETR4_B_0</stp>
        <stp>VOV</stp>
        <tr r="U22" s="1"/>
      </tp>
      <tp t="e">
        <v>#N/A</v>
        <stp/>
        <stp>VIVT3_B_0</stp>
        <stp>THETA</stp>
        <tr r="AQ3" s="1"/>
      </tp>
      <tp t="e">
        <v>#N/A</v>
        <stp/>
        <stp>PETR4_B_0</stp>
        <stp>VIA</stp>
        <tr r="AT22" s="1"/>
      </tp>
      <tp t="e">
        <v>#N/A</v>
        <stp/>
        <stp>PETR4_B_0</stp>
        <stp>VIB</stp>
        <tr r="AU22" s="1"/>
      </tp>
      <tp t="e">
        <v>#N/A</v>
        <stp/>
        <stp>ECOR3_B_0</stp>
        <stp>MIN</stp>
        <tr r="G9" s="1"/>
      </tp>
      <tp t="e">
        <v>#N/A</v>
        <stp/>
        <stp>BBDC4_B_0</stp>
        <stp>FEC</stp>
        <tr r="H12" s="1"/>
      </tp>
      <tp t="e">
        <v>#N/A</v>
        <stp/>
        <stp>RENT3_B_0</stp>
        <stp>BLACK</stp>
        <tr r="AM13" s="1"/>
      </tp>
      <tp t="e">
        <v>#N/A</v>
        <stp/>
        <stp>CIEL3_B_0</stp>
        <stp>TRIM</stp>
        <tr r="AG8" s="1"/>
      </tp>
      <tp t="e">
        <v>#N/A</v>
        <stp/>
        <stp>CSNA3_B_0</stp>
        <stp>IMPVT</stp>
        <tr r="AN6" s="1"/>
      </tp>
      <tp t="e">
        <v>#N/A</v>
        <stp/>
        <stp>PETR4_B_0</stp>
        <stp>VPJ</stp>
        <tr r="Z22" s="1"/>
      </tp>
      <tp t="e">
        <v>#N/A</v>
        <stp/>
        <stp>CYRE3_B_0</stp>
        <stp>PEX</stp>
        <tr r="I5" s="1"/>
      </tp>
      <tp t="e">
        <v>#N/A</v>
        <stp/>
        <stp>VALE3_B_0</stp>
        <stp>NEG</stp>
        <tr r="N16" s="1"/>
      </tp>
      <tp t="e">
        <v>#N/A</v>
        <stp/>
        <stp>IBOV_B_0</stp>
        <stp>DAT</stp>
        <tr r="B23" s="1"/>
      </tp>
      <tp t="e">
        <v>#N/A</v>
        <stp/>
        <stp>CYRE3_B_0</stp>
        <stp>IMPVT</stp>
        <tr r="AN5" s="1"/>
      </tp>
      <tp t="e">
        <v>#N/A</v>
        <stp/>
        <stp>CMIG4_B_0</stp>
        <stp>VARPTS</stp>
        <tr r="K20" s="1"/>
      </tp>
      <tp t="e">
        <v>#N/A</v>
        <stp/>
        <stp>EMBR3_B_0</stp>
        <stp>VARPTS</stp>
        <tr r="K2" s="1"/>
      </tp>
      <tp t="e">
        <v>#N/A</v>
        <stp/>
        <stp>GOAU4_B_0</stp>
        <stp>DOBRAR</stp>
        <tr r="AV27" s="1"/>
      </tp>
      <tp t="e">
        <v>#N/A</v>
        <stp/>
        <stp>MGLU3_B_0</stp>
        <stp>OCP</stp>
        <tr r="R17" s="1"/>
      </tp>
      <tp t="e">
        <v>#N/A</v>
        <stp/>
        <stp>SUZB3_B_0</stp>
        <stp>BLACK</stp>
        <tr r="AM19" s="1"/>
      </tp>
      <tp t="e">
        <v>#N/A</v>
        <stp/>
        <stp>USIM5_B_0</stp>
        <stp>TRIM</stp>
        <tr r="AG24" s="1"/>
      </tp>
      <tp t="e">
        <v>#N/A</v>
        <stp/>
        <stp>BBAS3_B_0</stp>
        <stp>IMPVT</stp>
        <tr r="AN15" s="1"/>
      </tp>
      <tp t="e">
        <v>#N/A</v>
        <stp/>
        <stp>RENT3_B_0</stp>
        <stp>MAX</stp>
        <tr r="F13" s="1"/>
      </tp>
      <tp t="e">
        <v>#N/A</v>
        <stp/>
        <stp>WINFUT_F_0</stp>
        <stp>CAB</stp>
        <tr r="AK3" s="2"/>
      </tp>
      <tp t="e">
        <v>#N/A</v>
        <stp/>
        <stp>WDOFUT_F_0</stp>
        <stp>CAB</stp>
        <tr r="AK2" s="2"/>
      </tp>
      <tp t="e">
        <v>#N/A</v>
        <stp/>
        <stp>ITUB4_B_0</stp>
        <stp>VPJ</stp>
        <tr r="Z18" s="1"/>
      </tp>
      <tp t="e">
        <v>#N/A</v>
        <stp/>
        <stp>ITSA4_B_0</stp>
        <stp>PRT</stp>
        <tr r="X4" s="1"/>
      </tp>
      <tp t="e">
        <v>#N/A</v>
        <stp/>
        <stp>CIEL3_B_0</stp>
        <stp>101_psicotrade</stp>
        <tr r="AZ8" s="1"/>
      </tp>
      <tp t="e">
        <v>#N/A</v>
        <stp/>
        <stp>GFSA3_B_0</stp>
        <stp>PRT</stp>
        <tr r="X10" s="1"/>
      </tp>
      <tp t="e">
        <v>#N/A</v>
        <stp/>
        <stp>VALE3_B_0</stp>
        <stp>OVD</stp>
        <tr r="S16" s="1"/>
      </tp>
      <tp t="e">
        <v>#N/A</v>
        <stp/>
        <stp>B3SA3_B_0</stp>
        <stp>PRT</stp>
        <tr r="X28" s="1"/>
      </tp>
      <tp t="e">
        <v>#N/A</v>
        <stp/>
        <stp>ABEV3_B_0</stp>
        <stp>FEC</stp>
        <tr r="H26" s="1"/>
      </tp>
      <tp t="e">
        <v>#N/A</v>
        <stp/>
        <stp>CYRE3_B_0</stp>
        <stp>QUL</stp>
        <tr r="O5" s="1"/>
      </tp>
      <tp t="e">
        <v>#N/A</v>
        <stp/>
        <stp>EMBR3_B_0</stp>
        <stp>ABE</stp>
        <tr r="E2" s="1"/>
      </tp>
      <tp t="e">
        <v>#N/A</v>
        <stp/>
        <stp>GGBR4_B_0</stp>
        <stp>ABE</stp>
        <tr r="E25" s="1"/>
      </tp>
      <tp t="e">
        <v>#N/A</v>
        <stp/>
        <stp>USIM5_B_0</stp>
        <stp>BLACK</stp>
        <tr r="AM24" s="1"/>
      </tp>
      <tp t="e">
        <v>#N/A</v>
        <stp/>
        <stp>CYRE3_B_0</stp>
        <stp>QTT</stp>
        <tr r="P5" s="1"/>
      </tp>
      <tp t="e">
        <v>#N/A</v>
        <stp/>
        <stp>RENT3_B_0</stp>
        <stp>MED</stp>
        <tr r="L13" s="1"/>
      </tp>
      <tp t="e">
        <v>#N/A</v>
        <stp/>
        <stp>RENT3_B_0</stp>
        <stp>MES</stp>
        <tr r="AB13" s="1"/>
      </tp>
      <tp t="e">
        <v>#N/A</v>
        <stp/>
        <stp>CYRE3_B_0</stp>
        <stp>QTE</stp>
        <tr r="Y5" s="1"/>
      </tp>
      <tp t="e">
        <v>#N/A</v>
        <stp/>
        <stp>PETR4_B_0</stp>
        <stp>THETA</stp>
        <tr r="AQ22" s="1"/>
      </tp>
      <tp t="e">
        <v>#N/A</v>
        <stp/>
        <stp>EMBR3_B_0</stp>
        <stp>ANO</stp>
        <tr r="AF2" s="1"/>
      </tp>
      <tp t="e">
        <v>#N/A</v>
        <stp/>
        <stp>GGBR4_B_0</stp>
        <stp>ANO</stp>
        <tr r="AF25" s="1"/>
      </tp>
      <tp t="e">
        <v>#N/A</v>
        <stp/>
        <stp>RENT3_B_0</stp>
        <stp>MIN</stp>
        <tr r="G13" s="1"/>
      </tp>
      <tp t="e">
        <v>#N/A</v>
        <stp/>
        <stp>IBOV_B_0</stp>
        <stp>EST</stp>
        <tr r="AL23" s="1"/>
      </tp>
      <tp t="e">
        <v>#N/A</v>
        <stp/>
        <stp>ABEV3_B_0</stp>
        <stp>VIVH</stp>
        <tr r="AW26" s="1"/>
      </tp>
      <tp t="e">
        <v>#N/A</v>
        <stp/>
        <stp>EMBR3_B_0</stp>
        <stp>AJU</stp>
        <tr r="V2" s="1"/>
      </tp>
      <tp t="e">
        <v>#N/A</v>
        <stp/>
        <stp>GGBR4_B_0</stp>
        <stp>AJU</stp>
        <tr r="V25" s="1"/>
      </tp>
      <tp t="e">
        <v>#N/A</v>
        <stp/>
        <stp>VIVT3_B_0</stp>
        <stp>ULT</stp>
        <tr r="D3" s="1"/>
      </tp>
      <tp t="e">
        <v>#N/A</v>
        <stp/>
        <stp>GGBR4_B_0</stp>
        <stp>AJA</stp>
        <tr r="W25" s="1"/>
      </tp>
      <tp t="e">
        <v>#N/A</v>
        <stp/>
        <stp>EMBR3_B_0</stp>
        <stp>AJA</stp>
        <tr r="W2" s="1"/>
      </tp>
      <tp t="e">
        <v>#N/A</v>
        <stp/>
        <stp>VALE3_B_0</stp>
        <stp>OCP</stp>
        <tr r="R16" s="1"/>
      </tp>
      <tp t="e">
        <v>#N/A</v>
        <stp/>
        <stp>BITFUT_F_0</stp>
        <stp>CAB</stp>
        <tr r="AK4" s="2"/>
      </tp>
      <tp t="e">
        <v>#N/A</v>
        <stp/>
        <stp>ITUB4_B_0</stp>
        <stp>VEN</stp>
        <tr r="AI18" s="1"/>
      </tp>
      <tp t="e">
        <v>#N/A</v>
        <stp/>
        <stp>B3SA3_B_0</stp>
        <stp>PEX</stp>
        <tr r="I28" s="1"/>
      </tp>
      <tp t="e">
        <v>#N/A</v>
        <stp/>
        <stp>GFSA3_B_0</stp>
        <stp>PEX</stp>
        <tr r="I10" s="1"/>
      </tp>
      <tp t="e">
        <v>#N/A</v>
        <stp/>
        <stp>CSNA3_B_0</stp>
        <stp>MES</stp>
        <tr r="AB6" s="1"/>
      </tp>
      <tp t="e">
        <v>#N/A</v>
        <stp/>
        <stp>ITSA4_B_0</stp>
        <stp>PEX</stp>
        <tr r="I4" s="1"/>
      </tp>
      <tp t="e">
        <v>#N/A</v>
        <stp/>
        <stp>CSNA3_B_0</stp>
        <stp>MED</stp>
        <tr r="L6" s="1"/>
      </tp>
      <tp t="e">
        <v>#N/A</v>
        <stp/>
        <stp>BRFS3_B_0</stp>
        <stp>IMPVT</stp>
        <tr r="AN21" s="1"/>
      </tp>
      <tp t="e">
        <v>#N/A</v>
        <stp/>
        <stp>ABEV3_B_0</stp>
        <stp>VINT</stp>
        <tr r="AX26" s="1"/>
      </tp>
      <tp t="e">
        <v>#N/A</v>
        <stp/>
        <stp>ITUB4_B_0</stp>
        <stp>VAR</stp>
        <tr r="J18" s="1"/>
      </tp>
      <tp t="e">
        <v>#N/A</v>
        <stp/>
        <stp>MGLU3_B_0</stp>
        <stp>OVD</stp>
        <tr r="S17" s="1"/>
      </tp>
      <tp t="e">
        <v>#N/A</v>
        <stp/>
        <stp>ITUB4_B_0</stp>
        <stp>VAL</stp>
        <tr r="AJ18" s="1"/>
      </tp>
      <tp t="e">
        <v>#N/A</v>
        <stp/>
        <stp>CSNA3_B_0</stp>
        <stp>MAX</stp>
        <tr r="F6" s="1"/>
      </tp>
      <tp t="e">
        <v>#N/A</v>
        <stp/>
        <stp>BRFS3_B_0</stp>
        <stp>EST</stp>
        <tr r="AL21" s="1"/>
      </tp>
      <tp t="e">
        <v>#N/A</v>
        <stp/>
        <stp>VIVT3_B_0</stp>
        <stp>101_psicotrade</stp>
        <tr r="AZ3" s="1"/>
      </tp>
      <tp t="e">
        <v>#N/A</v>
        <stp/>
        <stp>ITUB4_B_0</stp>
        <stp>VOV</stp>
        <tr r="U18" s="1"/>
      </tp>
      <tp t="e">
        <v>#N/A</v>
        <stp/>
        <stp>ITUB4_B_0</stp>
        <stp>VOC</stp>
        <tr r="T18" s="1"/>
      </tp>
      <tp t="e">
        <v>#N/A</v>
        <stp/>
        <stp>ITUB4_B_0</stp>
        <stp>VOL</stp>
        <tr r="Q18" s="1"/>
      </tp>
      <tp t="e">
        <v>#N/A</v>
        <stp/>
        <stp>LREN3_B_0</stp>
        <stp>FEC</stp>
        <tr r="H7" s="1"/>
      </tp>
      <tp t="e">
        <v>#N/A</v>
        <stp/>
        <stp>ITUB4_B_0</stp>
        <stp>VIA</stp>
        <tr r="AT18" s="1"/>
      </tp>
      <tp t="e">
        <v>#N/A</v>
        <stp/>
        <stp>ITUB4_B_0</stp>
        <stp>VIB</stp>
        <tr r="AU18" s="1"/>
      </tp>
      <tp t="e">
        <v>#N/A</v>
        <stp/>
        <stp>CSNA3_B_0</stp>
        <stp>MIN</stp>
        <tr r="G6" s="1"/>
      </tp>
      <tp t="e">
        <v>#N/A</v>
        <stp/>
        <stp>MRVE3_B_0</stp>
        <stp>ULT</stp>
        <tr r="D11" s="1"/>
      </tp>
      <tp t="e">
        <v>#N/A</v>
        <stp/>
        <stp>CIEL3_B_0</stp>
        <stp>FEC</stp>
        <tr r="H8" s="1"/>
      </tp>
      <tp t="e">
        <v>#N/A</v>
        <stp/>
        <stp>B3SA3_B_0</stp>
        <stp>IMPVT</stp>
        <tr r="AN28" s="1"/>
      </tp>
      <tp t="e">
        <v>#N/A</v>
        <stp/>
        <stp>WINFUT_F_0</stp>
        <stp>101_psicotrade</stp>
        <tr r="AZ3" s="2"/>
      </tp>
      <tp t="e">
        <v>#N/A</v>
        <stp/>
        <stp>MGLU3_B_0</stp>
        <stp>VIVH</stp>
        <tr r="AW17" s="1"/>
      </tp>
      <tp t="e">
        <v>#N/A</v>
        <stp/>
        <stp>BRFS3_B_0</stp>
        <stp>FEC</stp>
        <tr r="H21" s="1"/>
      </tp>
      <tp t="e">
        <v>#N/A</v>
        <stp/>
        <stp>GOAU4_B_0</stp>
        <stp>ABE</stp>
        <tr r="E27" s="1"/>
      </tp>
      <tp t="e">
        <v>#N/A</v>
        <stp/>
        <stp>ABEV3_B_0</stp>
        <stp>IMPVT</stp>
        <tr r="AN26" s="1"/>
      </tp>
      <tp t="e">
        <v>#N/A</v>
        <stp/>
        <stp>VIVT3_B_0</stp>
        <stp>VAL</stp>
        <tr r="AJ3" s="1"/>
      </tp>
      <tp t="e">
        <v>#N/A</v>
        <stp/>
        <stp>MRVE3_B_0</stp>
        <stp>VPJ</stp>
        <tr r="Z11" s="1"/>
      </tp>
      <tp t="e">
        <v>#N/A</v>
        <stp/>
        <stp>VIVT3_B_0</stp>
        <stp>VAR</stp>
        <tr r="J3" s="1"/>
      </tp>
      <tp t="e">
        <v>#N/A</v>
        <stp/>
        <stp>BRAP4_B_0</stp>
        <stp>ABE</stp>
        <tr r="E14" s="1"/>
      </tp>
      <tp t="e">
        <v>#N/A</v>
        <stp/>
        <stp>VIVT3_B_0</stp>
        <stp>VEN</stp>
        <tr r="AI3" s="1"/>
      </tp>
      <tp t="e">
        <v>#N/A</v>
        <stp/>
        <stp>ECOR3_B_0</stp>
        <stp>OCP</stp>
        <tr r="R9" s="1"/>
      </tp>
      <tp t="e">
        <v>#N/A</v>
        <stp/>
        <stp>RENT3_B_0</stp>
        <stp>NEG</stp>
        <tr r="N13" s="1"/>
      </tp>
      <tp t="e">
        <v>#N/A</v>
        <stp/>
        <stp>BBAS3_B_0</stp>
        <stp>ABE</stp>
        <tr r="E15" s="1"/>
      </tp>
      <tp t="e">
        <v>#N/A</v>
        <stp/>
        <stp>BRAP4_B_0</stp>
        <stp>ANO</stp>
        <tr r="AF14" s="1"/>
      </tp>
      <tp t="e">
        <v>#N/A</v>
        <stp/>
        <stp>CIEL3_B_0</stp>
        <stp>EST</stp>
        <tr r="AL8" s="1"/>
      </tp>
      <tp t="e">
        <v>#N/A</v>
        <stp/>
        <stp>GOAU4_B_0</stp>
        <stp>AJU</stp>
        <tr r="V27" s="1"/>
      </tp>
      <tp t="e">
        <v>#N/A</v>
        <stp/>
        <stp>GOAU4_B_0</stp>
        <stp>AJA</stp>
        <tr r="W27" s="1"/>
      </tp>
      <tp t="e">
        <v>#N/A</v>
        <stp/>
        <stp>LREN3_B_0</stp>
        <stp>EST</stp>
        <tr r="AL7" s="1"/>
      </tp>
      <tp t="e">
        <v>#N/A</v>
        <stp/>
        <stp>VIVT3_B_0</stp>
        <stp>VIA</stp>
        <tr r="AT3" s="1"/>
      </tp>
      <tp t="e">
        <v>#N/A</v>
        <stp/>
        <stp>VIVT3_B_0</stp>
        <stp>VIB</stp>
        <tr r="AU3" s="1"/>
      </tp>
      <tp t="e">
        <v>#N/A</v>
        <stp/>
        <stp>BBAS3_B_0</stp>
        <stp>ANO</stp>
        <tr r="AF15" s="1"/>
      </tp>
      <tp t="e">
        <v>#N/A</v>
        <stp/>
        <stp>BRAP4_B_0</stp>
        <stp>AJU</stp>
        <tr r="V14" s="1"/>
      </tp>
      <tp t="e">
        <v>#N/A</v>
        <stp/>
        <stp>BRAP4_B_0</stp>
        <stp>AJA</stp>
        <tr r="W14" s="1"/>
      </tp>
      <tp t="e">
        <v>#N/A</v>
        <stp/>
        <stp>VIVT3_B_0</stp>
        <stp>VOL</stp>
        <tr r="Q3" s="1"/>
      </tp>
      <tp t="e">
        <v>#N/A</v>
        <stp/>
        <stp>VIVT3_B_0</stp>
        <stp>VOC</stp>
        <tr r="T3" s="1"/>
      </tp>
      <tp t="e">
        <v>#N/A</v>
        <stp/>
        <stp>GOAU4_B_0</stp>
        <stp>VIVH</stp>
        <tr r="AW27" s="1"/>
      </tp>
      <tp t="e">
        <v>#N/A</v>
        <stp/>
        <stp>GOAU4_B_0</stp>
        <stp>ANO</stp>
        <tr r="AF27" s="1"/>
      </tp>
      <tp t="e">
        <v>#N/A</v>
        <stp/>
        <stp>VIVT3_B_0</stp>
        <stp>VOV</stp>
        <tr r="U3" s="1"/>
      </tp>
      <tp t="e">
        <v>#N/A</v>
        <stp/>
        <stp>BBAS3_B_0</stp>
        <stp>AJU</stp>
        <tr r="V15" s="1"/>
      </tp>
      <tp t="e">
        <v>#N/A</v>
        <stp/>
        <stp>BBAS3_B_0</stp>
        <stp>AJA</stp>
        <tr r="W15" s="1"/>
      </tp>
      <tp t="e">
        <v>#N/A</v>
        <stp/>
        <stp>MRVE3_B_0</stp>
        <stp>VAR</stp>
        <tr r="J11" s="1"/>
      </tp>
      <tp t="e">
        <v>#N/A</v>
        <stp/>
        <stp>VIVT3_B_0</stp>
        <stp>VPJ</stp>
        <tr r="Z3" s="1"/>
      </tp>
      <tp t="e">
        <v>#N/A</v>
        <stp/>
        <stp>GFSA3_B_0</stp>
        <stp>SEM</stp>
        <tr r="AA10" s="1"/>
      </tp>
      <tp t="e">
        <v>#N/A</v>
        <stp/>
        <stp>B3SA3_B_0</stp>
        <stp>SEM</stp>
        <tr r="AA28" s="1"/>
      </tp>
      <tp t="e">
        <v>#N/A</v>
        <stp/>
        <stp>ITSA4_B_0</stp>
        <stp>SEM</stp>
        <tr r="AA4" s="1"/>
      </tp>
      <tp t="e">
        <v>#N/A</v>
        <stp/>
        <stp>MRVE3_B_0</stp>
        <stp>VAL</stp>
        <tr r="AJ11" s="1"/>
      </tp>
      <tp t="e">
        <v>#N/A</v>
        <stp/>
        <stp>ECOR3_B_0</stp>
        <stp>OVD</stp>
        <tr r="S9" s="1"/>
      </tp>
      <tp t="e">
        <v>#N/A</v>
        <stp/>
        <stp>CSNA3_B_0</stp>
        <stp>NEG</stp>
        <tr r="N6" s="1"/>
      </tp>
      <tp t="e">
        <v>#N/A</v>
        <stp/>
        <stp>ABEV3_B_0</stp>
        <stp>EST</stp>
        <tr r="AL26" s="1"/>
      </tp>
      <tp t="e">
        <v>#N/A</v>
        <stp/>
        <stp>BBDC4_B_0</stp>
        <stp>DAT</stp>
        <tr r="B12" s="1"/>
      </tp>
      <tp t="e">
        <v>#N/A</v>
        <stp/>
        <stp>GOAU4_B_0</stp>
        <stp>VINT</stp>
        <tr r="AX27" s="1"/>
      </tp>
      <tp t="e">
        <v>#N/A</v>
        <stp/>
        <stp>MRVE3_B_0</stp>
        <stp>VEN</stp>
        <tr r="AI11" s="1"/>
      </tp>
      <tp t="e">
        <v>#N/A</v>
        <stp/>
        <stp>ITUB4_B_0</stp>
        <stp>ULT</stp>
        <tr r="D18" s="1"/>
      </tp>
      <tp t="e">
        <v>#N/A</v>
        <stp/>
        <stp>MGLU3_B_0</stp>
        <stp>VINT</stp>
        <tr r="AX17" s="1"/>
      </tp>
      <tp t="e">
        <v>#N/A</v>
        <stp/>
        <stp>MRVE3_B_0</stp>
        <stp>VIB</stp>
        <tr r="AU11" s="1"/>
      </tp>
      <tp t="e">
        <v>#N/A</v>
        <stp/>
        <stp>MRVE3_B_0</stp>
        <stp>VIA</stp>
        <tr r="AT11" s="1"/>
      </tp>
      <tp t="e">
        <v>#N/A</v>
        <stp/>
        <stp>CYRE3_B_0</stp>
        <stp>RHO</stp>
        <tr r="AR5" s="1"/>
      </tp>
      <tp t="e">
        <v>#N/A</v>
        <stp/>
        <stp>MRVE3_B_0</stp>
        <stp>VOV</stp>
        <tr r="U11" s="1"/>
      </tp>
      <tp t="e">
        <v>#N/A</v>
        <stp/>
        <stp>MRVE3_B_0</stp>
        <stp>VOC</stp>
        <tr r="T11" s="1"/>
      </tp>
      <tp t="e">
        <v>#N/A</v>
        <stp/>
        <stp>MRVE3_B_0</stp>
        <stp>VOL</stp>
        <tr r="Q11" s="1"/>
      </tp>
      <tp t="e">
        <v>#N/A</v>
        <stp/>
        <stp>IBOV_B_0</stp>
        <stp>FEC</stp>
        <tr r="H23" s="1"/>
      </tp>
      <tp t="e">
        <v>#N/A</v>
        <stp/>
        <stp>LREN3_B_0</stp>
        <stp>TRIM</stp>
        <tr r="AG7" s="1"/>
      </tp>
      <tp t="e">
        <v>#N/A</v>
        <stp/>
        <stp>IBOV_B_0</stp>
        <stp>TRIM</stp>
        <tr r="AG23" s="1"/>
      </tp>
      <tp t="e">
        <v>#N/A</v>
        <stp/>
        <stp>CMIG4_B_0</stp>
        <stp>DOBRAR</stp>
        <tr r="AV20" s="1"/>
      </tp>
      <tp t="e">
        <v>#N/A</v>
        <stp/>
        <stp>GOAU4_B_0</stp>
        <stp>VARPTS</stp>
        <tr r="K27" s="1"/>
      </tp>
      <tp t="e">
        <v>#N/A</v>
        <stp/>
        <stp>EMBR3_B_0</stp>
        <stp>DOBRAR</stp>
        <tr r="AV2" s="1"/>
      </tp>
      <tp t="e">
        <v>#N/A</v>
        <stp/>
        <stp>WDOFUT_F_0</stp>
        <stp>101_psicotrade</stp>
        <tr r="AZ2" s="2"/>
      </tp>
      <tp t="e">
        <v>#N/A</v>
        <stp/>
        <stp>ABEV3_B_0</stp>
        <stp>DAT</stp>
        <tr r="B26" s="1"/>
      </tp>
      <tp t="e">
        <v>#N/A</v>
        <stp/>
        <stp>ECOR3_B_0</stp>
        <stp>NEG</stp>
        <tr r="N9" s="1"/>
      </tp>
      <tp t="e">
        <v>#N/A</v>
        <stp/>
        <stp>RENT3_B_0</stp>
        <stp>OCP</stp>
        <tr r="R13" s="1"/>
      </tp>
      <tp t="e">
        <v>#N/A</v>
        <stp/>
        <stp>CSNA3_B_0</stp>
        <stp>OVD</stp>
        <tr r="S6" s="1"/>
      </tp>
      <tp t="e">
        <v>#N/A</v>
        <stp/>
        <stp>MGLU3_B_0</stp>
        <stp>MAX</stp>
        <tr r="F17" s="1"/>
      </tp>
      <tp t="e">
        <v>#N/A</v>
        <stp/>
        <stp>VIVT3_B_0</stp>
        <stp>VINT</stp>
        <tr r="AX3" s="1"/>
      </tp>
      <tp t="e">
        <v>#N/A</v>
        <stp/>
        <stp>GGBR4_B_0</stp>
        <stp>CAB</stp>
        <tr r="AK25" s="1"/>
      </tp>
      <tp t="e">
        <v>#N/A</v>
        <stp/>
        <stp>EMBR3_B_0</stp>
        <stp>CAB</stp>
        <tr r="AK2" s="1"/>
      </tp>
      <tp t="e">
        <v>#N/A</v>
        <stp/>
        <stp>MGLU3_B_0</stp>
        <stp>MES</stp>
        <tr r="AB17" s="1"/>
      </tp>
      <tp t="e">
        <v>#N/A</v>
        <stp/>
        <stp>BBDC4_B_0</stp>
        <stp>EST</stp>
        <tr r="AL12" s="1"/>
      </tp>
      <tp t="e">
        <v>#N/A</v>
        <stp/>
        <stp>MGLU3_B_0</stp>
        <stp>MED</stp>
        <tr r="L17" s="1"/>
      </tp>
      <tp t="e">
        <v>#N/A</v>
        <stp/>
        <stp>WINFUT_F_0</stp>
        <stp>ABE</stp>
        <tr r="E3" s="2"/>
      </tp>
      <tp t="e">
        <v>#N/A</v>
        <stp/>
        <stp>WDOFUT_F_0</stp>
        <stp>ABE</stp>
        <tr r="E2" s="2"/>
      </tp>
      <tp t="e">
        <v>#N/A</v>
        <stp/>
        <stp>RENT3_B_0</stp>
        <stp>VINT</stp>
        <tr r="AX13" s="1"/>
      </tp>
      <tp t="e">
        <v>#N/A</v>
        <stp/>
        <stp>GGBR4_B_0</stp>
        <stp>IMPVT</stp>
        <tr r="AN25" s="1"/>
      </tp>
      <tp t="e">
        <v>#N/A</v>
        <stp/>
        <stp>PETR4_B_0</stp>
        <stp>ULT</stp>
        <tr r="D22" s="1"/>
      </tp>
      <tp t="e">
        <v>#N/A</v>
        <stp/>
        <stp>MGLU3_B_0</stp>
        <stp>MIN</stp>
        <tr r="G17" s="1"/>
      </tp>
      <tp t="e">
        <v>#N/A</v>
        <stp/>
        <stp>WDOFUT_F_0</stp>
        <stp>ANO</stp>
        <tr r="AF2" s="2"/>
      </tp>
      <tp t="e">
        <v>#N/A</v>
        <stp/>
        <stp>WINFUT_F_0</stp>
        <stp>ANO</stp>
        <tr r="AF3" s="2"/>
      </tp>
      <tp t="e">
        <v>#N/A</v>
        <stp/>
        <stp>WINFUT_F_0</stp>
        <stp>AJA</stp>
        <tr r="W3" s="2"/>
      </tp>
      <tp t="e">
        <v>#N/A</v>
        <stp/>
        <stp>WDOFUT_F_0</stp>
        <stp>AJA</stp>
        <tr r="W2" s="2"/>
      </tp>
      <tp t="e">
        <v>#N/A</v>
        <stp/>
        <stp>WINFUT_F_0</stp>
        <stp>AJU</stp>
        <tr r="V3" s="2"/>
      </tp>
      <tp t="e">
        <v>#N/A</v>
        <stp/>
        <stp>WDOFUT_F_0</stp>
        <stp>AJU</stp>
        <tr r="V2" s="2"/>
      </tp>
      <tp t="e">
        <v>#N/A</v>
        <stp/>
        <stp>GOAU4_B_0</stp>
        <stp>IMPVT</stp>
        <tr r="AN27" s="1"/>
      </tp>
      <tp t="e">
        <v>#N/A</v>
        <stp/>
        <stp>BITFUT_F_0</stp>
        <stp>ABE</stp>
        <tr r="E4" s="2"/>
      </tp>
      <tp t="e">
        <v>#N/A</v>
        <stp/>
        <stp>VALE3_B_0</stp>
        <stp>MAX</stp>
        <tr r="F16" s="1"/>
      </tp>
      <tp t="e">
        <v>#N/A</v>
        <stp/>
        <stp>CSNA3_B_0</stp>
        <stp>OCP</stp>
        <tr r="R6" s="1"/>
      </tp>
      <tp t="e">
        <v>#N/A</v>
        <stp/>
        <stp>RENT3_B_0</stp>
        <stp>OVD</stp>
        <tr r="S13" s="1"/>
      </tp>
      <tp t="e">
        <v>#N/A</v>
        <stp/>
        <stp>USIM5_B_0</stp>
        <stp>HOR</stp>
        <tr r="C24" s="1"/>
      </tp>
      <tp t="e">
        <v>#N/A</v>
        <stp/>
        <stp>VALE3_B_0</stp>
        <stp>MED</stp>
        <tr r="L16" s="1"/>
      </tp>
      <tp t="e">
        <v>#N/A</v>
        <stp/>
        <stp>CYRE3_B_0</stp>
        <stp>SEM</stp>
        <tr r="AA5" s="1"/>
      </tp>
      <tp t="e">
        <v>#N/A</v>
        <stp/>
        <stp>VALE3_B_0</stp>
        <stp>MES</stp>
        <tr r="AB16" s="1"/>
      </tp>
      <tp t="e">
        <v>#N/A</v>
        <stp/>
        <stp>LREN3_B_0</stp>
        <stp>DAT</stp>
        <tr r="B7" s="1"/>
      </tp>
      <tp t="e">
        <v>#N/A</v>
        <stp/>
        <stp>BITFUT_F_0</stp>
        <stp>AJA</stp>
        <tr r="W4" s="2"/>
      </tp>
      <tp t="e">
        <v>#N/A</v>
        <stp/>
        <stp>BITFUT_F_0</stp>
        <stp>AJU</stp>
        <tr r="V4" s="2"/>
      </tp>
      <tp t="e">
        <v>#N/A</v>
        <stp/>
        <stp>VALE3_B_0</stp>
        <stp>MIN</stp>
        <tr r="G16" s="1"/>
      </tp>
      <tp t="e">
        <v>#N/A</v>
        <stp/>
        <stp>CIEL3_B_0</stp>
        <stp>DAT</stp>
        <tr r="B8" s="1"/>
      </tp>
      <tp t="e">
        <v>#N/A</v>
        <stp/>
        <stp>VIVT3_B_0</stp>
        <stp>VIVH</stp>
        <tr r="AW3" s="1"/>
      </tp>
      <tp t="e">
        <v>#N/A</v>
        <stp/>
        <stp>BITFUT_F_0</stp>
        <stp>ANO</stp>
        <tr r="AF4" s="2"/>
      </tp>
      <tp t="e">
        <v>#N/A</v>
        <stp/>
        <stp>CMIG4_B_0</stp>
        <stp>HOR</stp>
        <tr r="C20" s="1"/>
      </tp>
      <tp t="e">
        <v>#N/A</v>
        <stp/>
        <stp>GFSA3_B_0</stp>
        <stp>RHO</stp>
        <tr r="AR10" s="1"/>
      </tp>
      <tp t="e">
        <v>#N/A</v>
        <stp/>
        <stp>B3SA3_B_0</stp>
        <stp>RHO</stp>
        <tr r="AR28" s="1"/>
      </tp>
      <tp t="e">
        <v>#N/A</v>
        <stp/>
        <stp>RENT3_B_0</stp>
        <stp>VIVH</stp>
        <tr r="AW13" s="1"/>
      </tp>
      <tp t="e">
        <v>#N/A</v>
        <stp/>
        <stp>ITSA4_B_0</stp>
        <stp>RHO</stp>
        <tr r="AR4" s="1"/>
      </tp>
      <tp t="e">
        <v>#N/A</v>
        <stp/>
        <stp>WDOFUT_F_0</stp>
        <stp>VINT</stp>
        <tr r="AX2" s="2"/>
      </tp>
      <tp t="e">
        <v>#N/A</v>
        <stp/>
        <stp>WINFUT_F_0</stp>
        <stp>VINT</stp>
        <tr r="AX3" s="2"/>
      </tp>
      <tp t="e">
        <v>#N/A</v>
        <stp/>
        <stp>WINFUT_F_0</stp>
        <stp>VIVH</stp>
        <tr r="AW3" s="2"/>
      </tp>
      <tp t="e">
        <v>#N/A</v>
        <stp/>
        <stp>WDOFUT_F_0</stp>
        <stp>VIVH</stp>
        <tr r="AW2" s="2"/>
      </tp>
      <tp t="e">
        <v>#N/A</v>
        <stp/>
        <stp>WINFUT_F_0</stp>
        <stp>FEC</stp>
        <tr r="H3" s="2"/>
      </tp>
      <tp t="e">
        <v>#N/A</v>
        <stp/>
        <stp>WDOFUT_F_0</stp>
        <stp>FEC</stp>
        <tr r="H2" s="2"/>
      </tp>
      <tp t="e">
        <v>#N/A</v>
        <stp/>
        <stp>MRVE3_B_0</stp>
        <stp>PRT</stp>
        <tr r="X11" s="1"/>
      </tp>
      <tp t="e">
        <v>#N/A</v>
        <stp/>
        <stp>ABEV3_B_0</stp>
        <stp>CAB</stp>
        <tr r="AK26" s="1"/>
      </tp>
      <tp t="e">
        <v>#N/A</v>
        <stp/>
        <stp>EMBR3_B_0</stp>
        <stp>DAT</stp>
        <tr r="B2" s="1"/>
      </tp>
      <tp t="e">
        <v>#N/A</v>
        <stp/>
        <stp>GGBR4_B_0</stp>
        <stp>DAT</stp>
        <tr r="B25" s="1"/>
      </tp>
      <tp t="e">
        <v>#N/A</v>
        <stp/>
        <stp>GFSA3_B_0</stp>
        <stp>IMPVT</stp>
        <tr r="AN10" s="1"/>
      </tp>
      <tp t="e">
        <v>#N/A</v>
        <stp/>
        <stp>VIVT3_B_0</stp>
        <stp>PEX</stp>
        <tr r="I3" s="1"/>
      </tp>
      <tp t="e">
        <v>#N/A</v>
        <stp/>
        <stp>CMIG4_B_0</stp>
        <stp>OVD</stp>
        <tr r="S20" s="1"/>
      </tp>
      <tp t="e">
        <v>#N/A</v>
        <stp/>
        <stp>RENT3_B_0</stp>
        <stp>THETA</stp>
        <tr r="AQ13" s="1"/>
      </tp>
      <tp t="e">
        <v>#N/A</v>
        <stp/>
        <stp>PETR4_B_0</stp>
        <stp>RHO</stp>
        <tr r="AR22" s="1"/>
      </tp>
      <tp t="e">
        <v>#N/A</v>
        <stp/>
        <stp>USIM5_B_0</stp>
        <stp>OVD</stp>
        <tr r="S24" s="1"/>
      </tp>
      <tp t="e">
        <v>#N/A</v>
        <stp/>
        <stp>RENT3_B_0</stp>
        <stp>HOR</stp>
        <tr r="C13" s="1"/>
      </tp>
      <tp t="e">
        <v>#N/A</v>
        <stp/>
        <stp>BRFS3_B_0</stp>
        <stp>VIVH</stp>
        <tr r="AW21" s="1"/>
      </tp>
      <tp t="e">
        <v>#N/A</v>
        <stp/>
        <stp>BBAS3_B_0</stp>
        <stp>VIVH</stp>
        <tr r="AW15" s="1"/>
      </tp>
      <tp t="e">
        <v>#N/A</v>
        <stp/>
        <stp>VIVT3_B_0</stp>
        <stp>PRT</stp>
        <tr r="X3" s="1"/>
      </tp>
      <tp t="e">
        <v>#N/A</v>
        <stp/>
        <stp>ITUB4_B_0</stp>
        <stp>SEM</stp>
        <tr r="AA18" s="1"/>
      </tp>
      <tp t="e">
        <v>#N/A</v>
        <stp/>
        <stp>CMIG4_B_0</stp>
        <stp>OCP</stp>
        <tr r="R20" s="1"/>
      </tp>
      <tp t="e">
        <v>#N/A</v>
        <stp/>
        <stp>VALE3_B_0</stp>
        <stp>BLACK</stp>
        <tr r="AM16" s="1"/>
      </tp>
      <tp t="e">
        <v>#N/A</v>
        <stp/>
        <stp>BITFUT_F_0</stp>
        <stp>FEC</stp>
        <tr r="H4" s="2"/>
      </tp>
      <tp t="e">
        <v>#N/A</v>
        <stp/>
        <stp>MRVE3_B_0</stp>
        <stp>PEX</stp>
        <tr r="I11" s="1"/>
      </tp>
      <tp t="e">
        <v>#N/A</v>
        <stp/>
        <stp>BBAS3_B_0</stp>
        <stp>VINT</stp>
        <tr r="AX15" s="1"/>
      </tp>
      <tp t="e">
        <v>#N/A</v>
        <stp/>
        <stp>BRFS3_B_0</stp>
        <stp>VINT</stp>
        <tr r="AX21" s="1"/>
      </tp>
      <tp t="e">
        <v>#N/A</v>
        <stp/>
        <stp>CSNA3_B_0</stp>
        <stp>HOR</stp>
        <tr r="C6" s="1"/>
      </tp>
      <tp t="e">
        <v>#N/A</v>
        <stp/>
        <stp>USIM5_B_0</stp>
        <stp>OCP</stp>
        <tr r="R24" s="1"/>
      </tp>
      <tp t="e">
        <v>#N/A</v>
        <stp/>
        <stp>LREN3_B_0</stp>
        <stp>CAB</stp>
        <tr r="AK7" s="1"/>
      </tp>
      <tp t="e">
        <v>#N/A</v>
        <stp/>
        <stp>ITSA4_B_0</stp>
        <stp>ULT</stp>
        <tr r="D4" s="1"/>
      </tp>
      <tp t="e">
        <v>#N/A</v>
        <stp/>
        <stp>GFSA3_B_0</stp>
        <stp>ULT</stp>
        <tr r="D10" s="1"/>
      </tp>
      <tp t="e">
        <v>#N/A</v>
        <stp/>
        <stp>B3SA3_B_0</stp>
        <stp>ULT</stp>
        <tr r="D28" s="1"/>
      </tp>
      <tp t="e">
        <v>#N/A</v>
        <stp/>
        <stp>CIEL3_B_0</stp>
        <stp>CAB</stp>
        <tr r="AK8" s="1"/>
      </tp>
      <tp t="e">
        <v>#N/A</v>
        <stp/>
        <stp>VIVT3_B_0</stp>
        <stp>BLACK</stp>
        <tr r="AM3" s="1"/>
      </tp>
      <tp t="e">
        <v>#N/A</v>
        <stp/>
        <stp>IBOV_B_0</stp>
        <stp>6M</stp>
        <tr r="AD23" s="1"/>
      </tp>
      <tp t="e">
        <v>#N/A</v>
        <stp/>
        <stp>IBOV_B_0</stp>
        <stp>67</stp>
        <tr r="BA23" s="1"/>
      </tp>
      <tp t="e">
        <v>#N/A</v>
        <stp/>
        <stp>IBOV_B_0</stp>
        <stp>3M</stp>
        <tr r="AC23" s="1"/>
      </tp>
      <tp t="e">
        <v>#N/A</v>
        <stp/>
        <stp>CIEL3_B_0</stp>
        <stp>VARPTS</stp>
        <tr r="K8" s="1"/>
      </tp>
      <tp t="e">
        <v>#N/A</v>
        <stp/>
        <stp>WDOFUT_F_0</stp>
        <stp>DOBRAR</stp>
        <tr r="AV2" s="2"/>
      </tp>
      <tp t="e">
        <v>#N/A</v>
        <stp/>
        <stp>VIVT3_B_0</stp>
        <stp>VARPTS</stp>
        <tr r="K3" s="1"/>
      </tp>
      <tp t="e">
        <v>#N/A</v>
        <stp/>
        <stp>BBAS3_B_0</stp>
        <stp>FEC</stp>
        <tr r="H15" s="1"/>
      </tp>
      <tp t="e">
        <v>#N/A</v>
        <stp/>
        <stp>PETR4_B_0</stp>
        <stp>SEM</stp>
        <tr r="AA22" s="1"/>
      </tp>
      <tp t="e">
        <v>#N/A</v>
        <stp/>
        <stp>PETR4_B_0</stp>
        <stp>VINT</stp>
        <tr r="AX22" s="1"/>
      </tp>
      <tp t="e">
        <v>#N/A</v>
        <stp/>
        <stp>EMBR3_B_0</stp>
        <stp>101_psicotrade</stp>
        <tr r="AZ2" s="1"/>
      </tp>
      <tp t="e">
        <v>#N/A</v>
        <stp/>
        <stp>BRAP4_B_0</stp>
        <stp>FEC</stp>
        <tr r="H14" s="1"/>
      </tp>
      <tp t="e">
        <v>#N/A</v>
        <stp/>
        <stp>GOAU4_B_0</stp>
        <stp>FEC</stp>
        <tr r="H27" s="1"/>
      </tp>
      <tp t="e">
        <v>#N/A</v>
        <stp/>
        <stp>MRVE3_B_0</stp>
        <stp>QUL</stp>
        <tr r="O11" s="1"/>
      </tp>
      <tp t="e">
        <v>#N/A</v>
        <stp/>
        <stp>MRVE3_B_0</stp>
        <stp>QTT</stp>
        <tr r="P11" s="1"/>
      </tp>
      <tp t="e">
        <v>#N/A</v>
        <stp/>
        <stp>MRVE3_B_0</stp>
        <stp>QTE</stp>
        <tr r="Y11" s="1"/>
      </tp>
      <tp t="e">
        <v>#N/A</v>
        <stp/>
        <stp>BRFS3_B_0</stp>
        <stp>ABE</stp>
        <tr r="E21" s="1"/>
      </tp>
      <tp t="e">
        <v>#N/A</v>
        <stp/>
        <stp>EMBR3_B_0</stp>
        <stp>VIVH</stp>
        <tr r="AW2" s="1"/>
      </tp>
      <tp t="e">
        <v>#N/A</v>
        <stp/>
        <stp>ECOR3_B_0</stp>
        <stp>VIVH</stp>
        <tr r="AW9" s="1"/>
      </tp>
      <tp t="e">
        <v>#N/A</v>
        <stp/>
        <stp>CMIG4_B_0</stp>
        <stp>101_psicotrade</stp>
        <tr r="AZ20" s="1"/>
      </tp>
      <tp t="e">
        <v>#N/A</v>
        <stp/>
        <stp>ECOR3_B_0</stp>
        <stp>HOR</stp>
        <tr r="C9" s="1"/>
      </tp>
      <tp t="e">
        <v>#N/A</v>
        <stp/>
        <stp>BRFS3_B_0</stp>
        <stp>ANO</stp>
        <tr r="AF21" s="1"/>
      </tp>
      <tp t="e">
        <v>#N/A</v>
        <stp/>
        <stp>GGBR4_B_0</stp>
        <stp>VIVH</stp>
        <tr r="AW25" s="1"/>
      </tp>
      <tp t="e">
        <v>#N/A</v>
        <stp/>
        <stp>BRFS3_B_0</stp>
        <stp>AJU</stp>
        <tr r="V21" s="1"/>
      </tp>
      <tp t="e">
        <v>#N/A</v>
        <stp/>
        <stp>BRFS3_B_0</stp>
        <stp>AJA</stp>
        <tr r="W21" s="1"/>
      </tp>
      <tp t="e">
        <v>#N/A</v>
        <stp/>
        <stp>ECOR3_B_0</stp>
        <stp>VINT</stp>
        <tr r="AX9" s="1"/>
      </tp>
      <tp t="e">
        <v>#N/A</v>
        <stp/>
        <stp>EMBR3_B_0</stp>
        <stp>VINT</stp>
        <tr r="AX2" s="1"/>
      </tp>
      <tp t="e">
        <v>#N/A</v>
        <stp/>
        <stp>PETR4_B_0</stp>
        <stp>BLACK</stp>
        <tr r="AM22" s="1"/>
      </tp>
      <tp t="e">
        <v>#N/A</v>
        <stp/>
        <stp>USIM5_B_0</stp>
        <stp>THETA</stp>
        <tr r="AQ24" s="1"/>
      </tp>
      <tp t="e">
        <v>#N/A</v>
        <stp/>
        <stp>IBOV_B_0</stp>
        <stp>AJA</stp>
        <tr r="W23" s="1"/>
      </tp>
      <tp t="e">
        <v>#N/A</v>
        <stp/>
        <stp>IBOV_B_0</stp>
        <stp>AJU</stp>
        <tr r="V23" s="1"/>
      </tp>
      <tp t="e">
        <v>#N/A</v>
        <stp/>
        <stp>CMIG4_B_0</stp>
        <stp>NEG</stp>
        <tr r="N20" s="1"/>
      </tp>
      <tp t="e">
        <v>#N/A</v>
        <stp/>
        <stp>BBDC4_B_0</stp>
        <stp>CAB</stp>
        <tr r="AK12" s="1"/>
      </tp>
      <tp t="e">
        <v>#N/A</v>
        <stp/>
        <stp>GGBR4_B_0</stp>
        <stp>VINT</stp>
        <tr r="AX25" s="1"/>
      </tp>
      <tp t="e">
        <v>#N/A</v>
        <stp/>
        <stp>VIVT3_B_0</stp>
        <stp>QTE</stp>
        <tr r="Y3" s="1"/>
      </tp>
      <tp t="e">
        <v>#N/A</v>
        <stp/>
        <stp>VIVT3_B_0</stp>
        <stp>QTT</stp>
        <tr r="P3" s="1"/>
      </tp>
      <tp t="e">
        <v>#N/A</v>
        <stp/>
        <stp>IBOV_B_0</stp>
        <stp>ANO</stp>
        <tr r="AF23" s="1"/>
      </tp>
      <tp t="e">
        <v>#N/A</v>
        <stp/>
        <stp>VIVT3_B_0</stp>
        <stp>QUL</stp>
        <tr r="O3" s="1"/>
      </tp>
      <tp t="e">
        <v>#N/A</v>
        <stp/>
        <stp>EMBR3_B_0</stp>
        <stp>EST</stp>
        <tr r="AL2" s="1"/>
      </tp>
      <tp t="e">
        <v>#N/A</v>
        <stp/>
        <stp>GGBR4_B_0</stp>
        <stp>EST</stp>
        <tr r="AL25" s="1"/>
      </tp>
      <tp t="e">
        <v>#N/A</v>
        <stp/>
        <stp>SUZB3_B_0</stp>
        <stp>THETA</stp>
        <tr r="AQ19" s="1"/>
      </tp>
      <tp t="e">
        <v>#N/A</v>
        <stp/>
        <stp>PETR4_B_0</stp>
        <stp>VIVH</stp>
        <tr r="AW22" s="1"/>
      </tp>
      <tp t="e">
        <v>#N/A</v>
        <stp/>
        <stp>IBOV_B_0</stp>
        <stp>ABE</stp>
        <tr r="E23" s="1"/>
      </tp>
      <tp t="e">
        <v>#N/A</v>
        <stp/>
        <stp>ITUB4_B_0</stp>
        <stp>RHO</stp>
        <tr r="AR18" s="1"/>
      </tp>
      <tp t="e">
        <v>#N/A</v>
        <stp/>
        <stp>USIM5_B_0</stp>
        <stp>NEG</stp>
        <tr r="N24" s="1"/>
      </tp>
      <tp t="e">
        <v>#N/A</v>
        <stp/>
        <stp>CYRE3_B_0</stp>
        <stp>ULT</stp>
        <tr r="D5" s="1"/>
      </tp>
      <tp t="e">
        <v>#N/A</v>
        <stp/>
        <stp>WINFUT_F_0</stp>
        <stp>DOBRAR</stp>
        <tr r="AV3" s="2"/>
      </tp>
      <tp t="e">
        <v>#N/A</v>
        <stp/>
        <stp>ITUB4_B_0</stp>
        <stp>QTT</stp>
        <tr r="P18" s="1"/>
      </tp>
      <tp t="e">
        <v>#N/A</v>
        <stp/>
        <stp>ITUB4_B_0</stp>
        <stp>QTE</stp>
        <tr r="Y18" s="1"/>
      </tp>
      <tp t="e">
        <v>#N/A</v>
        <stp/>
        <stp>PETR4_B_0</stp>
        <stp>PEX</stp>
        <tr r="I22" s="1"/>
      </tp>
      <tp t="e">
        <v>#N/A</v>
        <stp/>
        <stp>GGBR4_B_0</stp>
        <stp>FEC</stp>
        <tr r="H25" s="1"/>
      </tp>
      <tp t="e">
        <v>#N/A</v>
        <stp/>
        <stp>ITUB4_B_0</stp>
        <stp>QUL</stp>
        <tr r="O18" s="1"/>
      </tp>
      <tp t="e">
        <v>#N/A</v>
        <stp/>
        <stp>EMBR3_B_0</stp>
        <stp>FEC</stp>
        <tr r="H2" s="1"/>
      </tp>
      <tp t="e">
        <v>#N/A</v>
        <stp/>
        <stp>ABEV3_B_0</stp>
        <stp>ABE</stp>
        <tr r="E26" s="1"/>
      </tp>
      <tp t="e">
        <v>#N/A</v>
        <stp/>
        <stp>BBDC4_B_0</stp>
        <stp>IMPVT</stp>
        <tr r="AN12" s="1"/>
      </tp>
      <tp t="e">
        <v>#N/A</v>
        <stp/>
        <stp>CYRE3_B_0</stp>
        <stp>VPJ</stp>
        <tr r="Z5" s="1"/>
      </tp>
      <tp t="e">
        <v>#N/A</v>
        <stp/>
        <stp>ECOR3_B_0</stp>
        <stp>IMPVT</stp>
        <tr r="AN9" s="1"/>
      </tp>
      <tp t="e">
        <v>#N/A</v>
        <stp/>
        <stp>WINFUT_F_0</stp>
        <stp>DAT</stp>
        <tr r="B3" s="2"/>
      </tp>
      <tp t="e">
        <v>#N/A</v>
        <stp/>
        <stp>WDOFUT_F_0</stp>
        <stp>DAT</stp>
        <tr r="B2" s="2"/>
      </tp>
      <tp t="e">
        <v>#N/A</v>
        <stp/>
        <stp>VIVT3_B_0</stp>
        <stp>RHO</stp>
        <tr r="AR3" s="1"/>
      </tp>
      <tp t="e">
        <v>#N/A</v>
        <stp/>
        <stp>ABEV3_B_0</stp>
        <stp>AJU</stp>
        <tr r="V26" s="1"/>
      </tp>
      <tp t="e">
        <v>#N/A</v>
        <stp/>
        <stp>ABEV3_B_0</stp>
        <stp>AJA</stp>
        <tr r="W26" s="1"/>
      </tp>
      <tp t="e">
        <v>#N/A</v>
        <stp/>
        <stp>MGLU3_B_0</stp>
        <stp>HOR</stp>
        <tr r="C17" s="1"/>
      </tp>
      <tp t="e">
        <v>#N/A</v>
        <stp/>
        <stp>EMBR3_B_0</stp>
        <stp>IMPVT</stp>
        <tr r="AN2" s="1"/>
      </tp>
      <tp t="e">
        <v>#N/A</v>
        <stp/>
        <stp>ABEV3_B_0</stp>
        <stp>ANO</stp>
        <tr r="AF26" s="1"/>
      </tp>
      <tp t="e">
        <v>#N/A</v>
        <stp/>
        <stp>CMIG4_B_0</stp>
        <stp>MAX</stp>
        <tr r="F20" s="1"/>
      </tp>
      <tp t="e">
        <v>#N/A</v>
        <stp/>
        <stp>CIEL3_B_0</stp>
        <stp>AJU</stp>
        <tr r="V8" s="1"/>
      </tp>
      <tp t="e">
        <v>#N/A</v>
        <stp/>
        <stp>GOAU4_B_0</stp>
        <stp>EST</stp>
        <tr r="AL27" s="1"/>
      </tp>
      <tp t="e">
        <v>#N/A</v>
        <stp/>
        <stp>CIEL3_B_0</stp>
        <stp>AJA</stp>
        <tr r="W8" s="1"/>
      </tp>
      <tp t="e">
        <v>#N/A</v>
        <stp/>
        <stp>BITFUT_F_0</stp>
        <stp>DAT</stp>
        <tr r="B4" s="2"/>
      </tp>
      <tp t="e">
        <v>#N/A</v>
        <stp/>
        <stp>LREN3_B_0</stp>
        <stp>AJU</stp>
        <tr r="V7" s="1"/>
      </tp>
      <tp t="e">
        <v>#N/A</v>
        <stp/>
        <stp>USIM5_B_0</stp>
        <stp>MIN</stp>
        <tr r="G24" s="1"/>
      </tp>
      <tp t="e">
        <v>#N/A</v>
        <stp/>
        <stp>CYRE3_B_0</stp>
        <stp>VAR</stp>
        <tr r="J5" s="1"/>
      </tp>
      <tp t="e">
        <v>#N/A</v>
        <stp/>
        <stp>CYRE3_B_0</stp>
        <stp>VAL</stp>
        <tr r="AJ5" s="1"/>
      </tp>
      <tp t="e">
        <v>#N/A</v>
        <stp/>
        <stp>LREN3_B_0</stp>
        <stp>AJA</stp>
        <tr r="W7" s="1"/>
      </tp>
      <tp t="e">
        <v>#N/A</v>
        <stp/>
        <stp>BRAP4_B_0</stp>
        <stp>IMPVT</stp>
        <tr r="AN14" s="1"/>
      </tp>
      <tp t="e">
        <v>#N/A</v>
        <stp/>
        <stp>CMIG4_B_0</stp>
        <stp>MES</stp>
        <tr r="AB20" s="1"/>
      </tp>
      <tp t="e">
        <v>#N/A</v>
        <stp/>
        <stp>CIEL3_B_0</stp>
        <stp>ANO</stp>
        <tr r="AF8" s="1"/>
      </tp>
      <tp t="e">
        <v>#N/A</v>
        <stp/>
        <stp>CMIG4_B_0</stp>
        <stp>MED</stp>
        <tr r="L20" s="1"/>
      </tp>
      <tp t="e">
        <v>#N/A</v>
        <stp/>
        <stp>BRAP4_B_0</stp>
        <stp>EST</stp>
        <tr r="AL14" s="1"/>
      </tp>
      <tp t="e">
        <v>#N/A</v>
        <stp/>
        <stp>BBAS3_B_0</stp>
        <stp>EST</stp>
        <tr r="AL15" s="1"/>
      </tp>
      <tp t="e">
        <v>#N/A</v>
        <stp/>
        <stp>CYRE3_B_0</stp>
        <stp>VEN</stp>
        <tr r="AI5" s="1"/>
      </tp>
      <tp t="e">
        <v>#N/A</v>
        <stp/>
        <stp>LREN3_B_0</stp>
        <stp>ANO</stp>
        <tr r="AF7" s="1"/>
      </tp>
      <tp t="e">
        <v>#N/A</v>
        <stp/>
        <stp>PETR4_B_0</stp>
        <stp>PRT</stp>
        <tr r="X22" s="1"/>
      </tp>
      <tp t="e">
        <v>#N/A</v>
        <stp/>
        <stp>CMIG4_B_0</stp>
        <stp>MIN</stp>
        <tr r="G20" s="1"/>
      </tp>
      <tp t="e">
        <v>#N/A</v>
        <stp/>
        <stp>CIEL3_B_0</stp>
        <stp>ABE</stp>
        <tr r="E8" s="1"/>
      </tp>
      <tp t="e">
        <v>#N/A</v>
        <stp/>
        <stp>USIM5_B_0</stp>
        <stp>MAX</stp>
        <tr r="F24" s="1"/>
      </tp>
      <tp t="e">
        <v>#N/A</v>
        <stp/>
        <stp>LREN3_B_0</stp>
        <stp>ABE</stp>
        <tr r="E7" s="1"/>
      </tp>
      <tp t="e">
        <v>#N/A</v>
        <stp/>
        <stp>CYRE3_B_0</stp>
        <stp>VIA</stp>
        <tr r="AT5" s="1"/>
      </tp>
      <tp t="e">
        <v>#N/A</v>
        <stp/>
        <stp>CYRE3_B_0</stp>
        <stp>VIB</stp>
        <tr r="AU5" s="1"/>
      </tp>
      <tp t="e">
        <v>#N/A</v>
        <stp/>
        <stp>MRVE3_B_0</stp>
        <stp>RHO</stp>
        <tr r="AR11" s="1"/>
      </tp>
      <tp t="e">
        <v>#N/A</v>
        <stp/>
        <stp>CYRE3_B_0</stp>
        <stp>VOV</stp>
        <tr r="U5" s="1"/>
      </tp>
      <tp t="e">
        <v>#N/A</v>
        <stp/>
        <stp>CYRE3_B_0</stp>
        <stp>VOL</stp>
        <tr r="Q5" s="1"/>
      </tp>
      <tp t="e">
        <v>#N/A</v>
        <stp/>
        <stp>CYRE3_B_0</stp>
        <stp>VOC</stp>
        <tr r="T5" s="1"/>
      </tp>
      <tp t="e">
        <v>#N/A</v>
        <stp/>
        <stp>VALE3_B_0</stp>
        <stp>HOR</stp>
        <tr r="C16" s="1"/>
      </tp>
      <tp t="e">
        <v>#N/A</v>
        <stp/>
        <stp>USIM5_B_0</stp>
        <stp>MED</stp>
        <tr r="L24" s="1"/>
      </tp>
      <tp t="e">
        <v>#N/A</v>
        <stp/>
        <stp>USIM5_B_0</stp>
        <stp>MES</stp>
        <tr r="AB24" s="1"/>
      </tp>
      <tp t="e">
        <v>#N/A</v>
        <stp/>
        <stp>WDOFUT_F_0</stp>
        <stp>VARPTS</stp>
        <tr r="K2" s="2"/>
      </tp>
      <tp t="e">
        <v>#N/A</v>
        <stp/>
        <stp>CIEL3_B_0</stp>
        <stp>DOBRAR</stp>
        <tr r="AV8" s="1"/>
      </tp>
      <tp t="e">
        <v>#N/A</v>
        <stp/>
        <stp>VIVT3_B_0</stp>
        <stp>DOBRAR</stp>
        <tr r="AV3" s="1"/>
      </tp>
      <tp t="e">
        <v>#N/A</v>
        <stp/>
        <stp>GOAU4_B_0</stp>
        <stp>101_psicotrade</stp>
        <tr r="AZ27" s="1"/>
      </tp>
      <tp t="e">
        <v>#N/A</v>
        <stp/>
        <stp>GOAU4_B_0</stp>
        <stp>DAT</stp>
        <tr r="B27" s="1"/>
      </tp>
      <tp t="e">
        <v>#N/A</v>
        <stp/>
        <stp>BITFUT_F_0</stp>
        <stp>EST</stp>
        <tr r="AL4" s="2"/>
      </tp>
      <tp t="e">
        <v>#N/A</v>
        <stp/>
        <stp>BBAS3_B_0</stp>
        <stp>DAT</stp>
        <tr r="B15" s="1"/>
      </tp>
      <tp t="e">
        <v>#N/A</v>
        <stp/>
        <stp>BRFS3_B_0</stp>
        <stp>CAB</stp>
        <tr r="AK21" s="1"/>
      </tp>
      <tp t="e">
        <v>#N/A</v>
        <stp/>
        <stp>ITUB4_B_0</stp>
        <stp>PRT</stp>
        <tr r="X18" s="1"/>
      </tp>
      <tp t="e">
        <v>#N/A</v>
        <stp/>
        <stp>VIVT3_B_0</stp>
        <stp>SEM</stp>
        <tr r="AA3" s="1"/>
      </tp>
      <tp t="e">
        <v>#N/A</v>
        <stp/>
        <stp>BRAP4_B_0</stp>
        <stp>DAT</stp>
        <tr r="B14" s="1"/>
      </tp>
      <tp t="e">
        <v>#N/A</v>
        <stp/>
        <stp>B3SA3_B_0</stp>
        <stp>VPJ</stp>
        <tr r="Z28" s="1"/>
      </tp>
      <tp t="e">
        <v>#N/A</v>
        <stp/>
        <stp>GFSA3_B_0</stp>
        <stp>VPJ</stp>
        <tr r="Z10" s="1"/>
      </tp>
      <tp t="e">
        <v>#N/A</v>
        <stp/>
        <stp>ITSA4_B_0</stp>
        <stp>VPJ</stp>
        <tr r="Z4" s="1"/>
      </tp>
      <tp t="e">
        <v>#N/A</v>
        <stp/>
        <stp>BRAP4_B_0</stp>
        <stp>VIVH</stp>
        <tr r="AW14" s="1"/>
      </tp>
      <tp t="e">
        <v>#N/A</v>
        <stp/>
        <stp>CMIG4_B_0</stp>
        <stp>IMPVT</stp>
        <tr r="AN20" s="1"/>
      </tp>
      <tp t="e">
        <v>#N/A</v>
        <stp/>
        <stp>PETR4_B_0</stp>
        <stp>QTE</stp>
        <tr r="Y22" s="1"/>
      </tp>
      <tp t="e">
        <v>#N/A</v>
        <stp/>
        <stp>BRAP4_B_0</stp>
        <stp>VINT</stp>
        <tr r="AX14" s="1"/>
      </tp>
      <tp t="e">
        <v>#N/A</v>
        <stp/>
        <stp>PETR4_B_0</stp>
        <stp>QTT</stp>
        <tr r="P22" s="1"/>
      </tp>
      <tp t="e">
        <v>#N/A</v>
        <stp/>
        <stp>PETR4_B_0</stp>
        <stp>QUL</stp>
        <tr r="O22" s="1"/>
      </tp>
      <tp t="e">
        <v>#N/A</v>
        <stp/>
        <stp>ITUB4_B_0</stp>
        <stp>PEX</stp>
        <tr r="I18" s="1"/>
      </tp>
      <tp t="e">
        <v>#N/A</v>
        <stp/>
        <stp>GFSA3_B_0</stp>
        <stp>VEN</stp>
        <tr r="AI10" s="1"/>
      </tp>
      <tp t="e">
        <v>#N/A</v>
        <stp/>
        <stp>B3SA3_B_0</stp>
        <stp>VEN</stp>
        <tr r="AI28" s="1"/>
      </tp>
      <tp t="e">
        <v>#N/A</v>
        <stp/>
        <stp>ITSA4_B_0</stp>
        <stp>VEN</stp>
        <tr r="AI4" s="1"/>
      </tp>
      <tp t="e">
        <v>#N/A</v>
        <stp/>
        <stp>WINFUT_F_0</stp>
        <stp>EST</stp>
        <tr r="AL3" s="2"/>
      </tp>
      <tp t="e">
        <v>#N/A</v>
        <stp/>
        <stp>WDOFUT_F_0</stp>
        <stp>EST</stp>
        <tr r="AL2" s="2"/>
      </tp>
      <tp t="e">
        <v>#N/A</v>
        <stp/>
        <stp>ITSA4_B_0</stp>
        <stp>VAR</stp>
        <tr r="J4" s="1"/>
      </tp>
      <tp t="e">
        <v>#N/A</v>
        <stp/>
        <stp>B3SA3_B_0</stp>
        <stp>VAR</stp>
        <tr r="J28" s="1"/>
      </tp>
      <tp t="e">
        <v>#N/A</v>
        <stp/>
        <stp>GFSA3_B_0</stp>
        <stp>VAR</stp>
        <tr r="J10" s="1"/>
      </tp>
      <tp t="e">
        <v>#N/A</v>
        <stp/>
        <stp>GFSA3_B_0</stp>
        <stp>VAL</stp>
        <tr r="AJ10" s="1"/>
      </tp>
      <tp t="e">
        <v>#N/A</v>
        <stp/>
        <stp>B3SA3_B_0</stp>
        <stp>VAL</stp>
        <tr r="AJ28" s="1"/>
      </tp>
      <tp t="e">
        <v>#N/A</v>
        <stp/>
        <stp>ITSA4_B_0</stp>
        <stp>VAL</stp>
        <tr r="AJ4" s="1"/>
      </tp>
      <tp t="e">
        <v>#N/A</v>
        <stp/>
        <stp>MRVE3_B_0</stp>
        <stp>SEM</stp>
        <tr r="AA11" s="1"/>
      </tp>
      <tp t="e">
        <v>#N/A</v>
        <stp/>
        <stp>BBDC4_B_0</stp>
        <stp>ABE</stp>
        <tr r="E12" s="1"/>
      </tp>
      <tp t="e">
        <v>#N/A</v>
        <stp/>
        <stp>ITSA4_B_0</stp>
        <stp>VOV</stp>
        <tr r="U4" s="1"/>
      </tp>
      <tp t="e">
        <v>#N/A</v>
        <stp/>
        <stp>GFSA3_B_0</stp>
        <stp>VOV</stp>
        <tr r="U10" s="1"/>
      </tp>
      <tp t="e">
        <v>#N/A</v>
        <stp/>
        <stp>B3SA3_B_0</stp>
        <stp>VOV</stp>
        <tr r="U28" s="1"/>
      </tp>
      <tp t="e">
        <v>#N/A</v>
        <stp/>
        <stp>GFSA3_B_0</stp>
        <stp>VOL</stp>
        <tr r="Q10" s="1"/>
      </tp>
      <tp t="e">
        <v>#N/A</v>
        <stp/>
        <stp>B3SA3_B_0</stp>
        <stp>VOL</stp>
        <tr r="Q28" s="1"/>
      </tp>
      <tp t="e">
        <v>#N/A</v>
        <stp/>
        <stp>ITSA4_B_0</stp>
        <stp>VOC</stp>
        <tr r="T4" s="1"/>
      </tp>
      <tp t="e">
        <v>#N/A</v>
        <stp/>
        <stp>ITSA4_B_0</stp>
        <stp>VOL</stp>
        <tr r="Q4" s="1"/>
      </tp>
      <tp t="e">
        <v>#N/A</v>
        <stp/>
        <stp>B3SA3_B_0</stp>
        <stp>VOC</stp>
        <tr r="T28" s="1"/>
      </tp>
      <tp t="e">
        <v>#N/A</v>
        <stp/>
        <stp>GFSA3_B_0</stp>
        <stp>VOC</stp>
        <tr r="T10" s="1"/>
      </tp>
      <tp t="e">
        <v>#N/A</v>
        <stp/>
        <stp>IBOV_B_0</stp>
        <stp>CAB</stp>
        <tr r="AK23" s="1"/>
      </tp>
      <tp t="e">
        <v>#N/A</v>
        <stp/>
        <stp>BBDC4_B_0</stp>
        <stp>ANO</stp>
        <tr r="AF12" s="1"/>
      </tp>
      <tp t="e">
        <v>#N/A</v>
        <stp/>
        <stp>ITSA4_B_0</stp>
        <stp>VIA</stp>
        <tr r="AT4" s="1"/>
      </tp>
      <tp t="e">
        <v>#N/A</v>
        <stp/>
        <stp>ITSA4_B_0</stp>
        <stp>VIB</stp>
        <tr r="AU4" s="1"/>
      </tp>
      <tp t="e">
        <v>#N/A</v>
        <stp/>
        <stp>B3SA3_B_0</stp>
        <stp>VIA</stp>
        <tr r="AT28" s="1"/>
      </tp>
      <tp t="e">
        <v>#N/A</v>
        <stp/>
        <stp>B3SA3_B_0</stp>
        <stp>VIB</stp>
        <tr r="AU28" s="1"/>
      </tp>
      <tp t="e">
        <v>#N/A</v>
        <stp/>
        <stp>GFSA3_B_0</stp>
        <stp>VIA</stp>
        <tr r="AT10" s="1"/>
      </tp>
      <tp t="e">
        <v>#N/A</v>
        <stp/>
        <stp>GFSA3_B_0</stp>
        <stp>VIB</stp>
        <tr r="AU10" s="1"/>
      </tp>
      <tp t="e">
        <v>#N/A</v>
        <stp/>
        <stp>BBDC4_B_0</stp>
        <stp>AJU</stp>
        <tr r="V12" s="1"/>
      </tp>
      <tp t="e">
        <v>#N/A</v>
        <stp/>
        <stp>BBDC4_B_0</stp>
        <stp>AJA</stp>
        <tr r="W12" s="1"/>
      </tp>
      <tp t="e">
        <v>#N/A</v>
        <stp/>
        <stp>WINFUT_F_0</stp>
        <stp>VARPTS</stp>
        <tr r="K3" s="2"/>
      </tp>
      <tp t="e">
        <v>#N/A</v>
        <stp/>
        <stp>BITFUT_F_0</stp>
        <stp>101_psicotrade</stp>
        <tr r="AZ4" s="2"/>
      </tp>
      <tp t="e">
        <v>#N/A</v>
        <stp/>
        <stp>RENT3_B_0</stp>
        <stp>TRIM</stp>
        <tr r="AG13" s="1"/>
      </tp>
      <tp t="e">
        <v>#N/A</v>
        <stp/>
        <stp>PETR4_B_0</stp>
        <stp>NEG</stp>
        <tr r="N22" s="1"/>
      </tp>
      <tp t="e">
        <v>#N/A</v>
        <stp/>
        <stp>MGLU3_B_0</stp>
        <stp>VAR</stp>
        <tr r="J17" s="1"/>
      </tp>
      <tp t="e">
        <v>#N/A</v>
        <stp/>
        <stp>ITUB4_B_0</stp>
        <stp>OVD</stp>
        <tr r="S18" s="1"/>
      </tp>
      <tp t="e">
        <v>#N/A</v>
        <stp/>
        <stp>MGLU3_B_0</stp>
        <stp>VAL</stp>
        <tr r="AJ17" s="1"/>
      </tp>
      <tp t="e">
        <v>#N/A</v>
        <stp/>
        <stp>VALE3_B_0</stp>
        <stp>VPJ</stp>
        <tr r="Z16" s="1"/>
      </tp>
      <tp t="e">
        <v>#N/A</v>
        <stp/>
        <stp>VIVT3_B_0</stp>
        <stp>TRIM</stp>
        <tr r="AG3" s="1"/>
      </tp>
      <tp t="e">
        <v>#N/A</v>
        <stp/>
        <stp>GFSA3_B_0</stp>
        <stp>DELTA</stp>
        <tr r="AO10" s="1"/>
      </tp>
      <tp t="e">
        <v>#N/A</v>
        <stp/>
        <stp>BBDC4_B_0</stp>
        <stp>VEXT</stp>
        <tr r="AY12" s="1"/>
      </tp>
      <tp t="e">
        <v>#N/A</v>
        <stp/>
        <stp>MGLU3_B_0</stp>
        <stp>VEN</stp>
        <tr r="AI17" s="1"/>
      </tp>
      <tp t="e">
        <v>#N/A</v>
        <stp/>
        <stp>ECOR3_B_0</stp>
        <stp>ULT</stp>
        <tr r="D9" s="1"/>
      </tp>
      <tp t="e">
        <v>#N/A</v>
        <stp/>
        <stp>MGLU3_B_0</stp>
        <stp>VIB</stp>
        <tr r="AU17" s="1"/>
      </tp>
      <tp t="e">
        <v>#N/A</v>
        <stp/>
        <stp>MGLU3_B_0</stp>
        <stp>VIA</stp>
        <tr r="AT17" s="1"/>
      </tp>
      <tp t="e">
        <v>#N/A</v>
        <stp/>
        <stp>MGLU3_B_0</stp>
        <stp>VOV</stp>
        <tr r="U17" s="1"/>
      </tp>
      <tp t="e">
        <v>#N/A</v>
        <stp/>
        <stp>MGLU3_B_0</stp>
        <stp>VOC</stp>
        <tr r="T17" s="1"/>
      </tp>
      <tp t="e">
        <v>#N/A</v>
        <stp/>
        <stp>MGLU3_B_0</stp>
        <stp>VOL</stp>
        <tr r="Q17" s="1"/>
      </tp>
      <tp t="e">
        <v>#N/A</v>
        <stp/>
        <stp>VALE3_B_0</stp>
        <stp>VAL</stp>
        <tr r="AJ16" s="1"/>
      </tp>
      <tp t="e">
        <v>#N/A</v>
        <stp/>
        <stp>CMIG4_B_0</stp>
        <stp>GAMA</stp>
        <tr r="AP20" s="1"/>
      </tp>
      <tp t="e">
        <v>#N/A</v>
        <stp/>
        <stp>VALE3_B_0</stp>
        <stp>VAR</stp>
        <tr r="J16" s="1"/>
      </tp>
      <tp t="e">
        <v>#N/A</v>
        <stp/>
        <stp>MGLU3_B_0</stp>
        <stp>VPJ</stp>
        <tr r="Z17" s="1"/>
      </tp>
      <tp t="e">
        <v>#N/A</v>
        <stp/>
        <stp>CMIG4_B_0</stp>
        <stp>SEM</stp>
        <tr r="AA20" s="1"/>
      </tp>
      <tp t="e">
        <v>#N/A</v>
        <stp/>
        <stp>VALE3_B_0</stp>
        <stp>VEN</stp>
        <tr r="AI16" s="1"/>
      </tp>
      <tp t="e">
        <v>#N/A</v>
        <stp/>
        <stp>ITUB4_B_0</stp>
        <stp>THETA</stp>
        <tr r="AQ18" s="1"/>
      </tp>
      <tp t="e">
        <v>#N/A</v>
        <stp/>
        <stp>ITSA4_B_0</stp>
        <stp>THETA</stp>
        <tr r="AQ4" s="1"/>
      </tp>
      <tp t="e">
        <v>#N/A</v>
        <stp/>
        <stp>ITUB4_B_0</stp>
        <stp>OCP</stp>
        <tr r="R18" s="1"/>
      </tp>
      <tp t="e">
        <v>#N/A</v>
        <stp/>
        <stp>BBDC4_B_0</stp>
        <stp>VEGA</stp>
        <tr r="AS12" s="1"/>
      </tp>
      <tp t="e">
        <v>#N/A</v>
        <stp/>
        <stp>VALE3_B_0</stp>
        <stp>VIA</stp>
        <tr r="AT16" s="1"/>
      </tp>
      <tp t="e">
        <v>#N/A</v>
        <stp/>
        <stp>VALE3_B_0</stp>
        <stp>VIB</stp>
        <tr r="AU16" s="1"/>
      </tp>
      <tp t="e">
        <v>#N/A</v>
        <stp/>
        <stp>VALE3_B_0</stp>
        <stp>VOL</stp>
        <tr r="Q16" s="1"/>
      </tp>
      <tp t="e">
        <v>#N/A</v>
        <stp/>
        <stp>CYRE3_B_0</stp>
        <stp>HOR</stp>
        <tr r="C5" s="1"/>
      </tp>
      <tp t="e">
        <v>#N/A</v>
        <stp/>
        <stp>VALE3_B_0</stp>
        <stp>VOC</stp>
        <tr r="T16" s="1"/>
      </tp>
      <tp t="e">
        <v>#N/A</v>
        <stp/>
        <stp>VALE3_B_0</stp>
        <stp>VOV</stp>
        <tr r="U16" s="1"/>
      </tp>
      <tp t="e">
        <v>#N/A</v>
        <stp/>
        <stp>USIM5_B_0</stp>
        <stp>SEM</stp>
        <tr r="AA24" s="1"/>
      </tp>
      <tp t="e">
        <v>#N/A</v>
        <stp/>
        <stp>SUZB3_B_0</stp>
        <stp>VARPTS</stp>
        <tr r="K19" s="1"/>
      </tp>
      <tp t="e">
        <v>#N/A</v>
        <stp/>
        <stp>BITFUT_F_0</stp>
        <stp>GAMA</stp>
        <tr r="AP4" s="2"/>
      </tp>
      <tp t="e">
        <v>#N/A</v>
        <stp/>
        <stp>LREN3_B_0</stp>
        <stp>VIVH</stp>
        <tr r="AW7" s="1"/>
      </tp>
      <tp t="e">
        <v>#N/A</v>
        <stp/>
        <stp>VIVT3_B_0</stp>
        <stp>MAX</stp>
        <tr r="F3" s="1"/>
      </tp>
      <tp t="e">
        <v>#N/A</v>
        <stp/>
        <stp>VIVT3_B_0</stp>
        <stp>MED</stp>
        <tr r="L3" s="1"/>
      </tp>
      <tp t="e">
        <v>#N/A</v>
        <stp/>
        <stp>PETR4_B_0</stp>
        <stp>OCP</stp>
        <tr r="R22" s="1"/>
      </tp>
      <tp t="e">
        <v>#N/A</v>
        <stp/>
        <stp>VIVT3_B_0</stp>
        <stp>MES</stp>
        <tr r="AB3" s="1"/>
      </tp>
      <tp t="e">
        <v>#N/A</v>
        <stp/>
        <stp>VIVT3_B_0</stp>
        <stp>MIN</stp>
        <tr r="G3" s="1"/>
      </tp>
      <tp t="e">
        <v>#N/A</v>
        <stp/>
        <stp>ITUB4_B_0</stp>
        <stp>VEXT</stp>
        <tr r="AY18" s="1"/>
      </tp>
      <tp t="e">
        <v>#N/A</v>
        <stp/>
        <stp>RENT3_B_0</stp>
        <stp>ULT</stp>
        <tr r="D13" s="1"/>
      </tp>
      <tp t="e">
        <v>#N/A</v>
        <stp/>
        <stp>SUZB3_B_0</stp>
        <stp>VEGA</stp>
        <tr r="AS19" s="1"/>
      </tp>
      <tp t="e">
        <v>#N/A</v>
        <stp/>
        <stp>SUZB3_B_0</stp>
        <stp>VEXT</stp>
        <tr r="AY19" s="1"/>
      </tp>
      <tp t="e">
        <v>#N/A</v>
        <stp/>
        <stp>ITUB4_B_0</stp>
        <stp>NEG</stp>
        <tr r="N18" s="1"/>
      </tp>
      <tp t="e">
        <v>#N/A</v>
        <stp/>
        <stp>ITUB4_B_0</stp>
        <stp>VEGA</stp>
        <tr r="AS18" s="1"/>
      </tp>
      <tp t="e">
        <v>#N/A</v>
        <stp/>
        <stp>PETR4_B_0</stp>
        <stp>OVD</stp>
        <tr r="S22" s="1"/>
      </tp>
      <tp t="e">
        <v>#N/A</v>
        <stp/>
        <stp>MRVE3_B_0</stp>
        <stp>MAX</stp>
        <tr r="F11" s="1"/>
      </tp>
      <tp t="e">
        <v>#N/A</v>
        <stp/>
        <stp>GOAU4_B_0</stp>
        <stp>TRIM</stp>
        <tr r="AG27" s="1"/>
      </tp>
      <tp t="e">
        <v>#N/A</v>
        <stp/>
        <stp>USIM5_B_0</stp>
        <stp>RHO</stp>
        <tr r="AR24" s="1"/>
      </tp>
      <tp t="e">
        <v>#N/A</v>
        <stp/>
        <stp>GFSA3_B_0</stp>
        <stp>SEMES</stp>
        <tr r="AH10" s="1"/>
      </tp>
      <tp t="e">
        <v>#N/A</v>
        <stp/>
        <stp>MRVE3_B_0</stp>
        <stp>MES</stp>
        <tr r="AB11" s="1"/>
      </tp>
      <tp t="e">
        <v>#N/A</v>
        <stp/>
        <stp>SUZB3_B_0</stp>
        <stp>ABE</stp>
        <tr r="E19" s="1"/>
      </tp>
      <tp t="e">
        <v>#N/A</v>
        <stp/>
        <stp>MRVE3_B_0</stp>
        <stp>MED</stp>
        <tr r="L11" s="1"/>
      </tp>
      <tp t="e">
        <v>#N/A</v>
        <stp/>
        <stp>ITSA4_B_0</stp>
        <stp>HOR</stp>
        <tr r="C4" s="1"/>
      </tp>
      <tp t="e">
        <v>#N/A</v>
        <stp/>
        <stp>B3SA3_B_0</stp>
        <stp>HOR</stp>
        <tr r="C28" s="1"/>
      </tp>
      <tp t="e">
        <v>#N/A</v>
        <stp/>
        <stp>GFSA3_B_0</stp>
        <stp>HOR</stp>
        <tr r="C10" s="1"/>
      </tp>
      <tp t="e">
        <v>#N/A</v>
        <stp/>
        <stp>CMIG4_B_0</stp>
        <stp>RHO</stp>
        <tr r="AR20" s="1"/>
      </tp>
      <tp t="e">
        <v>#N/A</v>
        <stp/>
        <stp>LREN3_B_0</stp>
        <stp>VINT</stp>
        <tr r="AX7" s="1"/>
      </tp>
      <tp t="e">
        <v>#N/A</v>
        <stp/>
        <stp>SUZB3_B_0</stp>
        <stp>ANO</stp>
        <tr r="AF19" s="1"/>
      </tp>
      <tp t="e">
        <v>#N/A</v>
        <stp/>
        <stp>MRVE3_B_0</stp>
        <stp>MIN</stp>
        <tr r="G11" s="1"/>
      </tp>
      <tp t="e">
        <v>#N/A</v>
        <stp/>
        <stp>CSNA3_B_0</stp>
        <stp>ULT</stp>
        <tr r="D6" s="1"/>
      </tp>
      <tp t="e">
        <v>#N/A</v>
        <stp/>
        <stp>SUZB3_B_0</stp>
        <stp>AJA</stp>
        <tr r="W19" s="1"/>
      </tp>
      <tp t="e">
        <v>#N/A</v>
        <stp/>
        <stp>SUZB3_B_0</stp>
        <stp>AJU</stp>
        <tr r="V19" s="1"/>
      </tp>
      <tp t="e">
        <v>#N/A</v>
        <stp/>
        <stp>MGLU3_B_0</stp>
        <stp>TRIM</stp>
        <tr r="AG17" s="1"/>
      </tp>
      <tp t="e">
        <v>#N/A</v>
        <stp/>
        <stp>IBOV_B_0</stp>
        <stp>VINT</stp>
        <tr r="AX23" s="1"/>
      </tp>
      <tp t="e">
        <v>#N/A</v>
        <stp/>
        <stp>IBOV_B_0</stp>
        <stp>VIVH</stp>
        <tr r="AW23" s="1"/>
      </tp>
      <tp t="e">
        <v>#N/A</v>
        <stp/>
        <stp>ITSA4_B_0</stp>
        <stp>VARPTS</stp>
        <tr r="K4" s="1"/>
      </tp>
      <tp t="e">
        <v>#N/A</v>
        <stp/>
        <stp>ITUB4_B_0</stp>
        <stp>VARPTS</stp>
        <tr r="K18" s="1"/>
      </tp>
      <tp t="e">
        <v>#N/A</v>
        <stp/>
        <stp>CSNA3_B_0</stp>
        <stp>VEXT</stp>
        <tr r="AY6" s="1"/>
      </tp>
      <tp t="e">
        <v>#N/A</v>
        <stp/>
        <stp>VALE3_B_0</stp>
        <stp>GAMA</stp>
        <tr r="AP16" s="1"/>
      </tp>
      <tp t="e">
        <v>#N/A</v>
        <stp/>
        <stp>BBDC4_B_0</stp>
        <stp>DELTA</stp>
        <tr r="AO12" s="1"/>
      </tp>
      <tp t="e">
        <v>#N/A</v>
        <stp/>
        <stp>BRAP4_B_0</stp>
        <stp>101_psicotrade</stp>
        <tr r="AZ14" s="1"/>
      </tp>
      <tp t="e">
        <v>#N/A</v>
        <stp/>
        <stp>B3SA3_B_0</stp>
        <stp>VEXT</stp>
        <tr r="AY28" s="1"/>
      </tp>
      <tp t="e">
        <v>#N/A</v>
        <stp/>
        <stp>ECOR3_B_0</stp>
        <stp>DELTA</stp>
        <tr r="AO9" s="1"/>
      </tp>
      <tp t="e">
        <v>#N/A</v>
        <stp/>
        <stp>RENT3_B_0</stp>
        <stp>VAL</stp>
        <tr r="AJ13" s="1"/>
      </tp>
      <tp t="e">
        <v>#N/A</v>
        <stp/>
        <stp>RENT3_B_0</stp>
        <stp>VAR</stp>
        <tr r="J13" s="1"/>
      </tp>
      <tp t="e">
        <v>#N/A</v>
        <stp/>
        <stp>GFSA3_B_0</stp>
        <stp>VEXT</stp>
        <tr r="AY10" s="1"/>
      </tp>
      <tp t="e">
        <v>#N/A</v>
        <stp/>
        <stp>CMIG4_B_0</stp>
        <stp>QUL</stp>
        <tr r="O20" s="1"/>
      </tp>
      <tp t="e">
        <v>#N/A</v>
        <stp/>
        <stp>LREN3_B_0</stp>
        <stp>101_psicotrade</stp>
        <tr r="AZ7" s="1"/>
      </tp>
      <tp t="e">
        <v>#N/A</v>
        <stp/>
        <stp>CMIG4_B_0</stp>
        <stp>QTT</stp>
        <tr r="P20" s="1"/>
      </tp>
      <tp t="e">
        <v>#N/A</v>
        <stp/>
        <stp>CMIG4_B_0</stp>
        <stp>QTE</stp>
        <tr r="Y20" s="1"/>
      </tp>
      <tp t="e">
        <v>#N/A</v>
        <stp/>
        <stp>USIM5_B_0</stp>
        <stp>VINT</stp>
        <tr r="AX24" s="1"/>
      </tp>
      <tp t="e">
        <v>#N/A</v>
        <stp/>
        <stp>BRFS3_B_0</stp>
        <stp>101_psicotrade</stp>
        <tr r="AZ21" s="1"/>
      </tp>
      <tp t="e">
        <v>#N/A</v>
        <stp/>
        <stp>RENT3_B_0</stp>
        <stp>VEN</stp>
        <tr r="AI13" s="1"/>
      </tp>
      <tp t="e">
        <v>#N/A</v>
        <stp/>
        <stp>VIVT3_B_0</stp>
        <stp>NEG</stp>
        <tr r="N3" s="1"/>
      </tp>
      <tp t="e">
        <v>#N/A</v>
        <stp/>
        <stp>CSNA3_B_0</stp>
        <stp>VPJ</stp>
        <tr r="Z6" s="1"/>
      </tp>
      <tp t="e">
        <v>#N/A</v>
        <stp/>
        <stp>RENT3_B_0</stp>
        <stp>VIA</stp>
        <tr r="AT13" s="1"/>
      </tp>
      <tp t="e">
        <v>#N/A</v>
        <stp/>
        <stp>RENT3_B_0</stp>
        <stp>VIB</stp>
        <tr r="AU13" s="1"/>
      </tp>
      <tp t="e">
        <v>#N/A</v>
        <stp/>
        <stp>RENT3_B_0</stp>
        <stp>VOL</stp>
        <tr r="Q13" s="1"/>
      </tp>
      <tp t="e">
        <v>#N/A</v>
        <stp/>
        <stp>RENT3_B_0</stp>
        <stp>VOC</stp>
        <tr r="T13" s="1"/>
      </tp>
      <tp t="e">
        <v>#N/A</v>
        <stp/>
        <stp>ITSA4_B_0</stp>
        <stp>VEXT</stp>
        <tr r="AY4" s="1"/>
      </tp>
      <tp t="e">
        <v>#N/A</v>
        <stp/>
        <stp>RENT3_B_0</stp>
        <stp>VOV</stp>
        <tr r="U13" s="1"/>
      </tp>
      <tp t="e">
        <v>#N/A</v>
        <stp/>
        <stp>USIM5_B_0</stp>
        <stp>QUL</stp>
        <tr r="O24" s="1"/>
      </tp>
      <tp t="e">
        <v>#N/A</v>
        <stp/>
        <stp>USIM5_B_0</stp>
        <stp>QTE</stp>
        <tr r="Y24" s="1"/>
      </tp>
      <tp t="e">
        <v>#N/A</v>
        <stp/>
        <stp>USIM5_B_0</stp>
        <stp>QTT</stp>
        <tr r="P24" s="1"/>
      </tp>
      <tp t="e">
        <v>#N/A</v>
        <stp/>
        <stp>EMBR3_B_0</stp>
        <stp>DELTA</stp>
        <tr r="AO2" s="1"/>
      </tp>
      <tp t="e">
        <v>#N/A</v>
        <stp/>
        <stp>BRAP4_B_0</stp>
        <stp>DELTA</stp>
        <tr r="AO14" s="1"/>
      </tp>
      <tp t="e">
        <v>#N/A</v>
        <stp/>
        <stp>LREN3_B_0</stp>
        <stp>THETA</stp>
        <tr r="AQ7" s="1"/>
      </tp>
      <tp t="e">
        <v>#N/A</v>
        <stp/>
        <stp>ITUB4_B_0</stp>
        <stp>MES</stp>
        <tr r="AB18" s="1"/>
      </tp>
      <tp t="e">
        <v>#N/A</v>
        <stp/>
        <stp>ITUB4_B_0</stp>
        <stp>MED</stp>
        <tr r="L18" s="1"/>
      </tp>
      <tp t="e">
        <v>#N/A</v>
        <stp/>
        <stp>ITSA4_B_0</stp>
        <stp>VEGA</stp>
        <tr r="AS4" s="1"/>
      </tp>
      <tp t="e">
        <v>#N/A</v>
        <stp/>
        <stp>RENT3_B_0</stp>
        <stp>VPJ</stp>
        <tr r="Z13" s="1"/>
      </tp>
      <tp t="e">
        <v>#N/A</v>
        <stp/>
        <stp>CSNA3_B_0</stp>
        <stp>VEN</stp>
        <tr r="AI6" s="1"/>
      </tp>
      <tp t="e">
        <v>#N/A</v>
        <stp/>
        <stp>ABEV3_B_0</stp>
        <stp>TRIM</stp>
        <tr r="AG26" s="1"/>
      </tp>
      <tp t="e">
        <v>#N/A</v>
        <stp/>
        <stp>ITUB4_B_0</stp>
        <stp>MAX</stp>
        <tr r="F18" s="1"/>
      </tp>
      <tp t="e">
        <v>#N/A</v>
        <stp/>
        <stp>CYRE3_B_0</stp>
        <stp>GAMA</stp>
        <tr r="AP5" s="1"/>
      </tp>
      <tp t="e">
        <v>#N/A</v>
        <stp/>
        <stp>MRVE3_B_0</stp>
        <stp>101_psicotrade</stp>
        <tr r="AZ11" s="1"/>
      </tp>
      <tp t="e">
        <v>#N/A</v>
        <stp/>
        <stp>CSNA3_B_0</stp>
        <stp>VAR</stp>
        <tr r="J6" s="1"/>
      </tp>
      <tp t="e">
        <v>#N/A</v>
        <stp/>
        <stp>MRVE3_B_0</stp>
        <stp>NEG</stp>
        <tr r="N11" s="1"/>
      </tp>
      <tp t="e">
        <v>#N/A</v>
        <stp/>
        <stp>CSNA3_B_0</stp>
        <stp>VAL</stp>
        <tr r="AJ6" s="1"/>
      </tp>
      <tp t="e">
        <v>#N/A</v>
        <stp/>
        <stp>CSNA3_B_0</stp>
        <stp>VOV</stp>
        <tr r="U6" s="1"/>
      </tp>
      <tp t="e">
        <v>#N/A</v>
        <stp/>
        <stp>CSNA3_B_0</stp>
        <stp>VOL</stp>
        <tr r="Q6" s="1"/>
      </tp>
      <tp t="e">
        <v>#N/A</v>
        <stp/>
        <stp>CSNA3_B_0</stp>
        <stp>VOC</stp>
        <tr r="T6" s="1"/>
      </tp>
      <tp t="e">
        <v>#N/A</v>
        <stp/>
        <stp>MRVE3_B_0</stp>
        <stp>GAMA</stp>
        <tr r="AP11" s="1"/>
      </tp>
      <tp t="e">
        <v>#N/A</v>
        <stp/>
        <stp>GFSA3_B_0</stp>
        <stp>VEGA</stp>
        <tr r="AS10" s="1"/>
      </tp>
      <tp t="e">
        <v>#N/A</v>
        <stp/>
        <stp>ITUB4_B_0</stp>
        <stp>MIN</stp>
        <tr r="G18" s="1"/>
      </tp>
      <tp t="e">
        <v>#N/A</v>
        <stp/>
        <stp>USIM5_B_0</stp>
        <stp>VIVH</stp>
        <tr r="AW24" s="1"/>
      </tp>
      <tp t="e">
        <v>#N/A</v>
        <stp/>
        <stp>CSNA3_B_0</stp>
        <stp>VIA</stp>
        <tr r="AT6" s="1"/>
      </tp>
      <tp t="e">
        <v>#N/A</v>
        <stp/>
        <stp>CSNA3_B_0</stp>
        <stp>VIB</stp>
        <tr r="AU6" s="1"/>
      </tp>
      <tp t="e">
        <v>#N/A</v>
        <stp/>
        <stp>B3SA3_B_0</stp>
        <stp>VEGA</stp>
        <tr r="AS28" s="1"/>
      </tp>
      <tp t="e">
        <v>#N/A</v>
        <stp/>
        <stp>CMIG4_B_0</stp>
        <stp>SEMES</stp>
        <tr r="AH20" s="1"/>
      </tp>
      <tp t="e">
        <v>#N/A</v>
        <stp/>
        <stp>CSNA3_B_0</stp>
        <stp>VEGA</stp>
        <tr r="AS6" s="1"/>
      </tp>
      <tp t="e">
        <v>#N/A</v>
        <stp/>
        <stp>SUZB3_B_0</stp>
        <stp>DOBRAR</stp>
        <tr r="AV19" s="1"/>
      </tp>
      <tp t="e">
        <v>#N/A</v>
        <stp/>
        <stp>PETR4_B_0</stp>
        <stp>MED</stp>
        <tr r="L22" s="1"/>
      </tp>
      <tp t="e">
        <v>#N/A</v>
        <stp/>
        <stp>ECOR3_B_0</stp>
        <stp>VEN</stp>
        <tr r="AI9" s="1"/>
      </tp>
      <tp t="e">
        <v>#N/A</v>
        <stp/>
        <stp>VIVT3_B_0</stp>
        <stp>OCP</stp>
        <tr r="R3" s="1"/>
      </tp>
      <tp t="e">
        <v>#N/A</v>
        <stp/>
        <stp>PETR4_B_0</stp>
        <stp>MES</stp>
        <tr r="AB22" s="1"/>
      </tp>
      <tp t="e">
        <v>#N/A</v>
        <stp/>
        <stp>BRAP4_B_0</stp>
        <stp>SEMES</stp>
        <tr r="AH14" s="1"/>
      </tp>
      <tp t="e">
        <v>#N/A</v>
        <stp/>
        <stp>CMIG4_B_0</stp>
        <stp>PRT</stp>
        <tr r="X20" s="1"/>
      </tp>
      <tp t="e">
        <v>#N/A</v>
        <stp/>
        <stp>ECOR3_B_0</stp>
        <stp>VAR</stp>
        <tr r="J9" s="1"/>
      </tp>
      <tp t="e">
        <v>#N/A</v>
        <stp/>
        <stp>MRVE3_B_0</stp>
        <stp>OVD</stp>
        <tr r="S11" s="1"/>
      </tp>
      <tp t="e">
        <v>#N/A</v>
        <stp/>
        <stp>ECOR3_B_0</stp>
        <stp>VAL</stp>
        <tr r="AJ9" s="1"/>
      </tp>
      <tp t="e">
        <v>#N/A</v>
        <stp/>
        <stp>PETR4_B_0</stp>
        <stp>MAX</stp>
        <tr r="F22" s="1"/>
      </tp>
      <tp t="e">
        <v>#N/A</v>
        <stp/>
        <stp>MGLU3_B_0</stp>
        <stp>THETA</stp>
        <tr r="AQ17" s="1"/>
      </tp>
      <tp t="e">
        <v>#N/A</v>
        <stp/>
        <stp>USIM5_B_0</stp>
        <stp>101_psicotrade</stp>
        <tr r="AZ24" s="1"/>
      </tp>
      <tp t="e">
        <v>#N/A</v>
        <stp/>
        <stp>USIM5_B_0</stp>
        <stp>PRT</stp>
        <tr r="X24" s="1"/>
      </tp>
      <tp t="e">
        <v>#N/A</v>
        <stp/>
        <stp>ECOR3_B_0</stp>
        <stp>VOV</stp>
        <tr r="U9" s="1"/>
      </tp>
      <tp t="e">
        <v>#N/A</v>
        <stp/>
        <stp>ECOR3_B_0</stp>
        <stp>VOL</stp>
        <tr r="Q9" s="1"/>
      </tp>
      <tp t="e">
        <v>#N/A</v>
        <stp/>
        <stp>ECOR3_B_0</stp>
        <stp>VOC</stp>
        <tr r="T9" s="1"/>
      </tp>
      <tp t="e">
        <v>#N/A</v>
        <stp/>
        <stp>PETR4_B_0</stp>
        <stp>MIN</stp>
        <tr r="G22" s="1"/>
      </tp>
      <tp t="e">
        <v>#N/A</v>
        <stp/>
        <stp>ECOR3_B_0</stp>
        <stp>VIB</stp>
        <tr r="AU9" s="1"/>
      </tp>
      <tp t="e">
        <v>#N/A</v>
        <stp/>
        <stp>ECOR3_B_0</stp>
        <stp>VIA</stp>
        <tr r="AT9" s="1"/>
      </tp>
      <tp t="e">
        <v>#N/A</v>
        <stp/>
        <stp>CSNA3_B_0</stp>
        <stp>101_psicotrade</stp>
        <tr r="AZ6" s="1"/>
      </tp>
      <tp t="e">
        <v>#N/A</v>
        <stp/>
        <stp>CIEL3_B_0</stp>
        <stp>VIVH</stp>
        <tr r="AW8" s="1"/>
      </tp>
      <tp t="e">
        <v>#N/A</v>
        <stp/>
        <stp>MGLU3_B_0</stp>
        <stp>ULT</stp>
        <tr r="D17" s="1"/>
      </tp>
      <tp t="e">
        <v>#N/A</v>
        <stp/>
        <stp>CMIG4_B_0</stp>
        <stp>DELTA</stp>
        <tr r="AO20" s="1"/>
      </tp>
      <tp t="e">
        <v>#N/A</v>
        <stp/>
        <stp>MRVE3_B_0</stp>
        <stp>OCP</stp>
        <tr r="R11" s="1"/>
      </tp>
      <tp t="e">
        <v>#N/A</v>
        <stp/>
        <stp>ECOR3_B_0</stp>
        <stp>SEMES</stp>
        <tr r="AH9" s="1"/>
      </tp>
      <tp t="e">
        <v>#N/A</v>
        <stp/>
        <stp>MRVE3_B_0</stp>
        <stp>THETA</stp>
        <tr r="AQ11" s="1"/>
      </tp>
      <tp t="e">
        <v>#N/A</v>
        <stp/>
        <stp>BBDC4_B_0</stp>
        <stp>SEMES</stp>
        <tr r="AH12" s="1"/>
      </tp>
      <tp t="e">
        <v>#N/A</v>
        <stp/>
        <stp>CMIG4_B_0</stp>
        <stp>PEX</stp>
        <tr r="I20" s="1"/>
      </tp>
      <tp t="e">
        <v>#N/A</v>
        <stp/>
        <stp>VIVT3_B_0</stp>
        <stp>OVD</stp>
        <tr r="S3" s="1"/>
      </tp>
      <tp t="e">
        <v>#N/A</v>
        <stp/>
        <stp>ECOR3_B_0</stp>
        <stp>VPJ</stp>
        <tr r="Z9" s="1"/>
      </tp>
      <tp t="e">
        <v>#N/A</v>
        <stp/>
        <stp>SUZB3_B_0</stp>
        <stp>CAB</stp>
        <tr r="AK19" s="1"/>
      </tp>
      <tp t="e">
        <v>#N/A</v>
        <stp/>
        <stp>CIEL3_B_0</stp>
        <stp>VINT</stp>
        <tr r="AX8" s="1"/>
      </tp>
      <tp t="e">
        <v>#N/A</v>
        <stp/>
        <stp>USIM5_B_0</stp>
        <stp>PEX</stp>
        <tr r="I24" s="1"/>
      </tp>
      <tp t="e">
        <v>#N/A</v>
        <stp/>
        <stp>EMBR3_B_0</stp>
        <stp>SEMES</stp>
        <tr r="AH2" s="1"/>
      </tp>
      <tp t="e">
        <v>#N/A</v>
        <stp/>
        <stp>VALE3_B_0</stp>
        <stp>ULT</stp>
        <tr r="D16" s="1"/>
      </tp>
      <tp t="e">
        <v>#N/A</v>
        <stp/>
        <stp>ITUB4_B_0</stp>
        <stp>DOBRAR</stp>
        <tr r="AV18" s="1"/>
      </tp>
      <tp t="e">
        <v>#N/A</v>
        <stp/>
        <stp>ITSA4_B_0</stp>
        <stp>DOBRAR</stp>
        <tr r="AV4" s="1"/>
      </tp>
      <tp t="e">
        <v>#N/A</v>
        <stp/>
        <stp>BRFS3_B_0</stp>
        <stp>SEMES</stp>
        <tr r="AH21" s="1"/>
      </tp>
      <tp t="e">
        <v>#N/A</v>
        <stp/>
        <stp>ITSA4_B_0</stp>
        <stp>BLACK</stp>
        <tr r="AM4" s="1"/>
      </tp>
      <tp t="e">
        <v>#N/A</v>
        <stp/>
        <stp>ITUB4_B_0</stp>
        <stp>BLACK</stp>
        <tr r="AM18" s="1"/>
      </tp>
      <tp t="e">
        <v>#N/A</v>
        <stp/>
        <stp>CSNA3_B_0</stp>
        <stp>PRT</stp>
        <tr r="X6" s="1"/>
      </tp>
      <tp t="e">
        <v>#N/A</v>
        <stp/>
        <stp>CMIG4_B_0</stp>
        <stp>VEXT</stp>
        <tr r="AY20" s="1"/>
      </tp>
      <tp t="e">
        <v>#N/A</v>
        <stp/>
        <stp>RENT3_B_0</stp>
        <stp>PEX</stp>
        <tr r="I13" s="1"/>
      </tp>
      <tp t="e">
        <v>#N/A</v>
        <stp/>
        <stp>MGLU3_B_0</stp>
        <stp>RHO</stp>
        <tr r="AR17" s="1"/>
      </tp>
      <tp t="e">
        <v>#N/A</v>
        <stp/>
        <stp>CIEL3_B_0</stp>
        <stp>DELTA</stp>
        <tr r="AO8" s="1"/>
      </tp>
      <tp t="e">
        <v>#N/A</v>
        <stp/>
        <stp>VIVT3_B_0</stp>
        <stp>HOR</stp>
        <tr r="C3" s="1"/>
      </tp>
      <tp t="e">
        <v>#N/A</v>
        <stp/>
        <stp>ECOR3_B_0</stp>
        <stp>QTT</stp>
        <tr r="P9" s="1"/>
      </tp>
      <tp t="e">
        <v>#N/A</v>
        <stp/>
        <stp>ECOR3_B_0</stp>
        <stp>QTE</stp>
        <tr r="Y9" s="1"/>
      </tp>
      <tp t="e">
        <v>#N/A</v>
        <stp/>
        <stp>RENT3_B_0</stp>
        <stp>PRT</stp>
        <tr r="X13" s="1"/>
      </tp>
      <tp t="e">
        <v>#N/A</v>
        <stp/>
        <stp>ECOR3_B_0</stp>
        <stp>QUL</stp>
        <tr r="O9" s="1"/>
      </tp>
      <tp t="e">
        <v>#N/A</v>
        <stp/>
        <stp>CSNA3_B_0</stp>
        <stp>DELTA</stp>
        <tr r="AO6" s="1"/>
      </tp>
      <tp t="e">
        <v>#N/A</v>
        <stp/>
        <stp>BBAS3_B_0</stp>
        <stp>SEMES</stp>
        <tr r="AH15" s="1"/>
      </tp>
      <tp t="e">
        <v>#N/A</v>
        <stp/>
        <stp>CSNA3_B_0</stp>
        <stp>PEX</stp>
        <tr r="I6" s="1"/>
      </tp>
      <tp t="e">
        <v>#N/A</v>
        <stp/>
        <stp>ITSA4_B_0</stp>
        <stp>MES</stp>
        <tr r="AB4" s="1"/>
      </tp>
      <tp t="e">
        <v>#N/A</v>
        <stp/>
        <stp>B3SA3_B_0</stp>
        <stp>MES</stp>
        <tr r="AB28" s="1"/>
      </tp>
      <tp t="e">
        <v>#N/A</v>
        <stp/>
        <stp>GFSA3_B_0</stp>
        <stp>MES</stp>
        <tr r="AB10" s="1"/>
      </tp>
      <tp t="e">
        <v>#N/A</v>
        <stp/>
        <stp>ITSA4_B_0</stp>
        <stp>MED</stp>
        <tr r="L4" s="1"/>
      </tp>
      <tp t="e">
        <v>#N/A</v>
        <stp/>
        <stp>GFSA3_B_0</stp>
        <stp>MED</stp>
        <tr r="L10" s="1"/>
      </tp>
      <tp t="e">
        <v>#N/A</v>
        <stp/>
        <stp>B3SA3_B_0</stp>
        <stp>MED</stp>
        <tr r="L28" s="1"/>
      </tp>
      <tp t="e">
        <v>#N/A</v>
        <stp/>
        <stp>ITSA4_B_0</stp>
        <stp>101_psicotrade</stp>
        <tr r="AZ4" s="1"/>
      </tp>
      <tp t="e">
        <v>#N/A</v>
        <stp/>
        <stp>BBDC4_B_0</stp>
        <stp>GAMA</stp>
        <tr r="AP12" s="1"/>
      </tp>
      <tp t="e">
        <v>#N/A</v>
        <stp/>
        <stp>ITUB4_B_0</stp>
        <stp>101_psicotrade</stp>
        <tr r="AZ18" s="1"/>
      </tp>
      <tp t="e">
        <v>#N/A</v>
        <stp/>
        <stp>SUZB3_B_0</stp>
        <stp>DAT</stp>
        <tr r="B19" s="1"/>
      </tp>
      <tp t="e">
        <v>#N/A</v>
        <stp/>
        <stp>B3SA3_B_0</stp>
        <stp>MAX</stp>
        <tr r="F28" s="1"/>
      </tp>
      <tp t="e">
        <v>#N/A</v>
        <stp/>
        <stp>GFSA3_B_0</stp>
        <stp>MAX</stp>
        <tr r="F10" s="1"/>
      </tp>
      <tp t="e">
        <v>#N/A</v>
        <stp/>
        <stp>ITSA4_B_0</stp>
        <stp>MAX</stp>
        <tr r="F4" s="1"/>
      </tp>
      <tp t="e">
        <v>#N/A</v>
        <stp/>
        <stp>BRAP4_B_0</stp>
        <stp>TRIM</stp>
        <tr r="AG14" s="1"/>
      </tp>
      <tp t="e">
        <v>#N/A</v>
        <stp/>
        <stp>CMIG4_B_0</stp>
        <stp>VEGA</stp>
        <tr r="AS20" s="1"/>
      </tp>
      <tp t="e">
        <v>#N/A</v>
        <stp/>
        <stp>VALE3_B_0</stp>
        <stp>RHO</stp>
        <tr r="AR16" s="1"/>
      </tp>
      <tp t="e">
        <v>#N/A</v>
        <stp/>
        <stp>CYRE3_B_0</stp>
        <stp>DELTA</stp>
        <tr r="AO5" s="1"/>
      </tp>
      <tp t="e">
        <v>#N/A</v>
        <stp/>
        <stp>MRVE3_B_0</stp>
        <stp>HOR</stp>
        <tr r="C11" s="1"/>
      </tp>
      <tp t="e">
        <v>#N/A</v>
        <stp/>
        <stp>GFSA3_B_0</stp>
        <stp>MIN</stp>
        <tr r="G10" s="1"/>
      </tp>
      <tp t="e">
        <v>#N/A</v>
        <stp/>
        <stp>B3SA3_B_0</stp>
        <stp>MIN</stp>
        <tr r="G28" s="1"/>
      </tp>
      <tp t="e">
        <v>#N/A</v>
        <stp/>
        <stp>ITSA4_B_0</stp>
        <stp>MIN</stp>
        <tr r="G4" s="1"/>
      </tp>
      <tp t="e">
        <v>#N/A</v>
        <stp/>
        <stp>B3SA3_B_0</stp>
        <stp>SEMES</stp>
        <tr r="AH28" s="1"/>
      </tp>
      <tp t="e">
        <v>#N/A</v>
        <stp/>
        <stp>CSNA3_B_0</stp>
        <stp>DOBRAR</stp>
        <tr r="AV6" s="1"/>
      </tp>
      <tp t="e">
        <v>#N/A</v>
        <stp/>
        <stp>USIM5_B_0</stp>
        <stp>DOBRAR</stp>
        <tr r="AV24" s="1"/>
      </tp>
      <tp t="e">
        <v>#N/A</v>
        <stp/>
        <stp>BITFUT_F_0</stp>
        <stp>VEGA</stp>
        <tr r="AS4" s="2"/>
      </tp>
      <tp t="e">
        <v>#N/A</v>
        <stp/>
        <stp>BITFUT_F_0</stp>
        <stp>VEXT</stp>
        <tr r="AY4" s="2"/>
      </tp>
      <tp t="e">
        <v>#N/A</v>
        <stp/>
        <stp>CSNA3_B_0</stp>
        <stp>SEMES</stp>
        <tr r="AH6" s="1"/>
      </tp>
      <tp t="e">
        <v>#N/A</v>
        <stp/>
        <stp>BBAS3_B_0</stp>
        <stp>DELTA</stp>
        <tr r="AO15" s="1"/>
      </tp>
      <tp t="e">
        <v>#N/A</v>
        <stp/>
        <stp>ECOR3_B_0</stp>
        <stp>PEX</stp>
        <tr r="I9" s="1"/>
      </tp>
      <tp t="e">
        <v>#N/A</v>
        <stp/>
        <stp>CMIG4_B_0</stp>
        <stp>VPJ</stp>
        <tr r="Z20" s="1"/>
      </tp>
      <tp t="e">
        <v>#N/A</v>
        <stp/>
        <stp>CSNA3_B_0</stp>
        <stp>QUL</stp>
        <tr r="O6" s="1"/>
      </tp>
      <tp t="e">
        <v>#N/A</v>
        <stp/>
        <stp>CSNA3_B_0</stp>
        <stp>QTT</stp>
        <tr r="P6" s="1"/>
      </tp>
      <tp t="e">
        <v>#N/A</v>
        <stp/>
        <stp>CSNA3_B_0</stp>
        <stp>QTE</stp>
        <tr r="Y6" s="1"/>
      </tp>
      <tp t="e">
        <v>#N/A</v>
        <stp/>
        <stp>SUZB3_B_0</stp>
        <stp>GAMA</stp>
        <tr r="AP19" s="1"/>
      </tp>
      <tp t="e">
        <v>#N/A</v>
        <stp/>
        <stp>MGLU3_B_0</stp>
        <stp>SEM</stp>
        <tr r="AA17" s="1"/>
      </tp>
      <tp t="e">
        <v>#N/A</v>
        <stp/>
        <stp>SUZB3_B_0</stp>
        <stp>EST</stp>
        <tr r="AL19" s="1"/>
      </tp>
      <tp t="e">
        <v>#N/A</v>
        <stp/>
        <stp>CYRE3_B_0</stp>
        <stp>SEMES</stp>
        <tr r="AH5" s="1"/>
      </tp>
      <tp t="e">
        <v>#N/A</v>
        <stp/>
        <stp>USIM5_B_0</stp>
        <stp>VPJ</stp>
        <tr r="Z24" s="1"/>
      </tp>
      <tp t="e">
        <v>#N/A</v>
        <stp/>
        <stp>CMIG4_B_0</stp>
        <stp>VAR</stp>
        <tr r="J20" s="1"/>
      </tp>
      <tp t="e">
        <v>#N/A</v>
        <stp/>
        <stp>CMIG4_B_0</stp>
        <stp>VAL</stp>
        <tr r="AJ20" s="1"/>
      </tp>
      <tp t="e">
        <v>#N/A</v>
        <stp/>
        <stp>BRFS3_B_0</stp>
        <stp>DELTA</stp>
        <tr r="AO21" s="1"/>
      </tp>
      <tp t="e">
        <v>#N/A</v>
        <stp/>
        <stp>CYRE3_B_0</stp>
        <stp>MAX</stp>
        <tr r="F5" s="1"/>
      </tp>
      <tp t="e">
        <v>#N/A</v>
        <stp/>
        <stp>USIM5_B_0</stp>
        <stp>VIA</stp>
        <tr r="AT24" s="1"/>
      </tp>
      <tp t="e">
        <v>#N/A</v>
        <stp/>
        <stp>USIM5_B_0</stp>
        <stp>VIB</stp>
        <tr r="AU24" s="1"/>
      </tp>
      <tp t="e">
        <v>#N/A</v>
        <stp/>
        <stp>USIM5_B_0</stp>
        <stp>VOL</stp>
        <tr r="Q24" s="1"/>
      </tp>
      <tp t="e">
        <v>#N/A</v>
        <stp/>
        <stp>USIM5_B_0</stp>
        <stp>VOC</stp>
        <tr r="T24" s="1"/>
      </tp>
      <tp t="e">
        <v>#N/A</v>
        <stp/>
        <stp>CMIG4_B_0</stp>
        <stp>VEN</stp>
        <tr r="AI20" s="1"/>
      </tp>
      <tp t="e">
        <v>#N/A</v>
        <stp/>
        <stp>USIM5_B_0</stp>
        <stp>VOV</stp>
        <tr r="U24" s="1"/>
      </tp>
      <tp t="e">
        <v>#N/A</v>
        <stp/>
        <stp>VALE3_B_0</stp>
        <stp>SEM</stp>
        <tr r="AA16" s="1"/>
      </tp>
      <tp t="e">
        <v>#N/A</v>
        <stp/>
        <stp>ECOR3_B_0</stp>
        <stp>PRT</stp>
        <tr r="X9" s="1"/>
      </tp>
      <tp t="e">
        <v>#N/A</v>
        <stp/>
        <stp>CYRE3_B_0</stp>
        <stp>MES</stp>
        <tr r="AB5" s="1"/>
      </tp>
      <tp t="e">
        <v>#N/A</v>
        <stp/>
        <stp>RENT3_B_0</stp>
        <stp>QTE</stp>
        <tr r="Y13" s="1"/>
      </tp>
      <tp t="e">
        <v>#N/A</v>
        <stp/>
        <stp>CYRE3_B_0</stp>
        <stp>MED</stp>
        <tr r="L5" s="1"/>
      </tp>
      <tp t="e">
        <v>#N/A</v>
        <stp/>
        <stp>RENT3_B_0</stp>
        <stp>QTT</stp>
        <tr r="P13" s="1"/>
      </tp>
      <tp t="e">
        <v>#N/A</v>
        <stp/>
        <stp>RENT3_B_0</stp>
        <stp>QUL</stp>
        <tr r="O13" s="1"/>
      </tp>
      <tp t="e">
        <v>#N/A</v>
        <stp/>
        <stp>ITUB4_B_0</stp>
        <stp>GAMA</stp>
        <tr r="AP18" s="1"/>
      </tp>
      <tp t="e">
        <v>#N/A</v>
        <stp/>
        <stp>CMIG4_B_0</stp>
        <stp>VIB</stp>
        <tr r="AU20" s="1"/>
      </tp>
      <tp t="e">
        <v>#N/A</v>
        <stp/>
        <stp>CMIG4_B_0</stp>
        <stp>VIA</stp>
        <tr r="AT20" s="1"/>
      </tp>
      <tp t="e">
        <v>#N/A</v>
        <stp/>
        <stp>USIM5_B_0</stp>
        <stp>VAL</stp>
        <tr r="AJ24" s="1"/>
      </tp>
      <tp t="e">
        <v>#N/A</v>
        <stp/>
        <stp>SUZB3_B_0</stp>
        <stp>101_psicotrade</stp>
        <tr r="AZ19" s="1"/>
      </tp>
      <tp t="e">
        <v>#N/A</v>
        <stp/>
        <stp>CYRE3_B_0</stp>
        <stp>MIN</stp>
        <tr r="G5" s="1"/>
      </tp>
      <tp t="e">
        <v>#N/A</v>
        <stp/>
        <stp>USIM5_B_0</stp>
        <stp>VAR</stp>
        <tr r="J24" s="1"/>
      </tp>
      <tp t="e">
        <v>#N/A</v>
        <stp/>
        <stp>CIEL3_B_0</stp>
        <stp>SEMES</stp>
        <tr r="AH8" s="1"/>
      </tp>
      <tp t="e">
        <v>#N/A</v>
        <stp/>
        <stp>USIM5_B_0</stp>
        <stp>VEN</stp>
        <tr r="AI24" s="1"/>
      </tp>
      <tp t="e">
        <v>#N/A</v>
        <stp/>
        <stp>CMIG4_B_0</stp>
        <stp>VOV</stp>
        <tr r="U20" s="1"/>
      </tp>
      <tp t="e">
        <v>#N/A</v>
        <stp/>
        <stp>CMIG4_B_0</stp>
        <stp>VOL</stp>
        <tr r="Q20" s="1"/>
      </tp>
      <tp t="e">
        <v>#N/A</v>
        <stp/>
        <stp>CMIG4_B_0</stp>
        <stp>VOC</stp>
        <tr r="T20" s="1"/>
      </tp>
      <tp t="e">
        <v>#N/A</v>
        <stp/>
        <stp>B3SA3_B_0</stp>
        <stp>DELTA</stp>
        <tr r="AO28" s="1"/>
      </tp>
      <tp t="e">
        <v>#N/A</v>
        <stp/>
        <stp>BITFUT_F_0</stp>
        <stp>VARPTS</stp>
        <tr r="K4" s="2"/>
      </tp>
      <tp t="e">
        <v>#N/A</v>
        <stp/>
        <stp>BRFS3_B_0</stp>
        <stp>DOBRAR</stp>
        <tr r="AV21" s="1"/>
      </tp>
      <tp t="e">
        <v>#N/A</v>
        <stp/>
        <stp>LREN3_B_0</stp>
        <stp>DOBRAR</stp>
        <tr r="AV7" s="1"/>
      </tp>
      <tp t="e">
        <v>#N/A</v>
        <stp/>
        <stp>BRAP4_B_0</stp>
        <stp>DOBRAR</stp>
        <tr r="AV14" s="1"/>
      </tp>
      <tp t="e">
        <v>#N/A</v>
        <stp/>
        <stp>MRVE3_B_0</stp>
        <stp>DOBRAR</stp>
        <tr r="AV11" s="1"/>
      </tp>
      <tp t="e">
        <v>#N/A</v>
        <stp/>
        <stp>CYRE3_B_0</stp>
        <stp>VEXT</stp>
        <tr r="AY5" s="1"/>
      </tp>
      <tp t="e">
        <v>#N/A</v>
        <stp/>
        <stp>ABEV3_B_0</stp>
        <stp>DELTA</stp>
        <tr r="AO26" s="1"/>
      </tp>
      <tp t="e">
        <v>#N/A</v>
        <stp/>
        <stp>ITSA4_B_0</stp>
        <stp>OVD</stp>
        <tr r="S4" s="1"/>
      </tp>
      <tp t="e">
        <v>#N/A</v>
        <stp/>
        <stp>ECOR3_B_0</stp>
        <stp>SEM</stp>
        <tr r="AA9" s="1"/>
      </tp>
      <tp t="e">
        <v>#N/A</v>
        <stp/>
        <stp>GFSA3_B_0</stp>
        <stp>OVD</stp>
        <tr r="S10" s="1"/>
      </tp>
      <tp t="e">
        <v>#N/A</v>
        <stp/>
        <stp>VALE3_B_0</stp>
        <stp>PRT</stp>
        <tr r="X16" s="1"/>
      </tp>
      <tp t="e">
        <v>#N/A</v>
        <stp/>
        <stp>B3SA3_B_0</stp>
        <stp>OVD</stp>
        <tr r="S28" s="1"/>
      </tp>
      <tp t="e">
        <v>#N/A</v>
        <stp/>
        <stp>PETR4_B_0</stp>
        <stp>TRIM</stp>
        <tr r="AG22" s="1"/>
      </tp>
      <tp t="e">
        <v>#N/A</v>
        <stp/>
        <stp>MGLU3_B_0</stp>
        <stp>PEX</stp>
        <tr r="I17" s="1"/>
      </tp>
      <tp t="e">
        <v>#N/A</v>
        <stp/>
        <stp>LREN3_B_0</stp>
        <stp>BLACK</stp>
        <tr r="AM7" s="1"/>
      </tp>
      <tp t="e">
        <v>#N/A</v>
        <stp/>
        <stp>RENT3_B_0</stp>
        <stp>RHO</stp>
        <tr r="AR13" s="1"/>
      </tp>
      <tp t="e">
        <v>#N/A</v>
        <stp/>
        <stp>VALE3_B_0</stp>
        <stp>VEGA</stp>
        <tr r="AS16" s="1"/>
      </tp>
      <tp t="e">
        <v>#N/A</v>
        <stp/>
        <stp>PETR4_B_0</stp>
        <stp>HOR</stp>
        <tr r="C22" s="1"/>
      </tp>
      <tp t="e">
        <v>#N/A</v>
        <stp/>
        <stp>MRVE3_B_0</stp>
        <stp>VEXT</stp>
        <tr r="AY11" s="1"/>
      </tp>
      <tp t="e">
        <v>#N/A</v>
        <stp/>
        <stp>MGLU3_B_0</stp>
        <stp>PRT</stp>
        <tr r="X17" s="1"/>
      </tp>
      <tp t="e">
        <v>#N/A</v>
        <stp/>
        <stp>MRVE3_B_0</stp>
        <stp>VEGA</stp>
        <tr r="AS11" s="1"/>
      </tp>
      <tp t="e">
        <v>#N/A</v>
        <stp/>
        <stp>SUZB3_B_0</stp>
        <stp>FEC</stp>
        <tr r="H19" s="1"/>
      </tp>
      <tp t="e">
        <v>#N/A</v>
        <stp/>
        <stp>GFSA3_B_0</stp>
        <stp>GAMA</stp>
        <tr r="AP10" s="1"/>
      </tp>
      <tp t="e">
        <v>#N/A</v>
        <stp/>
        <stp>GGBR4_B_0</stp>
        <stp>TRIM</stp>
        <tr r="AG25" s="1"/>
      </tp>
      <tp t="e">
        <v>#N/A</v>
        <stp/>
        <stp>ITSA4_B_0</stp>
        <stp>OCP</stp>
        <tr r="R4" s="1"/>
      </tp>
      <tp t="e">
        <v>#N/A</v>
        <stp/>
        <stp>B3SA3_B_0</stp>
        <stp>OCP</stp>
        <tr r="R28" s="1"/>
      </tp>
      <tp t="e">
        <v>#N/A</v>
        <stp/>
        <stp>GFSA3_B_0</stp>
        <stp>OCP</stp>
        <tr r="R10" s="1"/>
      </tp>
      <tp t="e">
        <v>#N/A</v>
        <stp/>
        <stp>B3SA3_B_0</stp>
        <stp>GAMA</stp>
        <tr r="AP28" s="1"/>
      </tp>
      <tp t="e">
        <v>#N/A</v>
        <stp/>
        <stp>GGBR4_B_0</stp>
        <stp>SEMES</stp>
        <tr r="AH25" s="1"/>
      </tp>
      <tp t="e">
        <v>#N/A</v>
        <stp/>
        <stp>VALE3_B_0</stp>
        <stp>VEXT</stp>
        <tr r="AY16" s="1"/>
      </tp>
      <tp t="e">
        <v>#N/A</v>
        <stp/>
        <stp>CSNA3_B_0</stp>
        <stp>GAMA</stp>
        <tr r="AP6" s="1"/>
      </tp>
      <tp t="e">
        <v>#N/A</v>
        <stp/>
        <stp>VALE3_B_0</stp>
        <stp>PEX</stp>
        <tr r="I16" s="1"/>
      </tp>
      <tp t="e">
        <v>#N/A</v>
        <stp/>
        <stp>CYRE3_B_0</stp>
        <stp>NEG</stp>
        <tr r="N5" s="1"/>
      </tp>
      <tp t="e">
        <v>#N/A</v>
        <stp/>
        <stp>EMBR3_B_0</stp>
        <stp>TRIM</stp>
        <tr r="AG2" s="1"/>
      </tp>
      <tp t="e">
        <v>#N/A</v>
        <stp/>
        <stp>ECOR3_B_0</stp>
        <stp>TRIM</stp>
        <tr r="AG9" s="1"/>
      </tp>
      <tp t="e">
        <v>#N/A</v>
        <stp/>
        <stp>USIM5_B_0</stp>
        <stp>ULT</stp>
        <tr r="D24" s="1"/>
      </tp>
      <tp t="e">
        <v>#N/A</v>
        <stp/>
        <stp>ITSA4_B_0</stp>
        <stp>GAMA</stp>
        <tr r="AP4" s="1"/>
      </tp>
      <tp t="e">
        <v>#N/A</v>
        <stp/>
        <stp>GOAU4_B_0</stp>
        <stp>SEMES</stp>
        <tr r="AH27" s="1"/>
      </tp>
      <tp t="e">
        <v>#N/A</v>
        <stp/>
        <stp>CMIG4_B_0</stp>
        <stp>ULT</stp>
        <tr r="D20" s="1"/>
      </tp>
      <tp t="e">
        <v>#N/A</v>
        <stp/>
        <stp>CYRE3_B_0</stp>
        <stp>VEGA</stp>
        <tr r="AS5" s="1"/>
      </tp>
      <tp t="e">
        <v>#N/A</v>
        <stp/>
        <stp>CSNA3_B_0</stp>
        <stp>RHO</stp>
        <tr r="AR6" s="1"/>
      </tp>
      <tp t="e">
        <v>#N/A</v>
        <stp/>
        <stp>USIM5_B_0</stp>
        <stp>VARPTS</stp>
        <tr r="K24" s="1"/>
      </tp>
      <tp t="e">
        <v>#N/A</v>
        <stp/>
        <stp>CSNA3_B_0</stp>
        <stp>VARPTS</stp>
        <tr r="K6" s="1"/>
      </tp>
      <tp t="e">
        <v>#N/A</v>
        <stp/>
        <stp>WDOFUT_F_0</stp>
        <stp>TRIM</stp>
        <tr r="AG2" s="2"/>
      </tp>
      <tp t="e">
        <v>#N/A</v>
        <stp/>
        <stp>WINFUT_F_0</stp>
        <stp>TRIM</stp>
        <tr r="AG3" s="2"/>
      </tp>
      <tp t="e">
        <v>#N/A</v>
        <stp/>
        <stp>CYRE3_B_0</stp>
        <stp>OVD</stp>
        <tr r="S5" s="1"/>
      </tp>
      <tp t="e">
        <v>#N/A</v>
        <stp/>
        <stp>GGBR4_B_0</stp>
        <stp>DELTA</stp>
        <tr r="AO25" s="1"/>
      </tp>
      <tp t="e">
        <v>#N/A</v>
        <stp/>
        <stp>VALE3_B_0</stp>
        <stp>QUL</stp>
        <tr r="O16" s="1"/>
      </tp>
      <tp t="e">
        <v>#N/A</v>
        <stp/>
        <stp>RENT3_B_0</stp>
        <stp>SEM</stp>
        <tr r="AA13" s="1"/>
      </tp>
      <tp t="e">
        <v>#N/A</v>
        <stp/>
        <stp>VALE3_B_0</stp>
        <stp>QTE</stp>
        <tr r="Y16" s="1"/>
      </tp>
      <tp t="e">
        <v>#N/A</v>
        <stp/>
        <stp>VALE3_B_0</stp>
        <stp>QTT</stp>
        <tr r="P16" s="1"/>
      </tp>
      <tp t="e">
        <v>#N/A</v>
        <stp/>
        <stp>MRVE3_B_0</stp>
        <stp>BLACK</stp>
        <tr r="AM11" s="1"/>
      </tp>
      <tp t="e">
        <v>#N/A</v>
        <stp/>
        <stp>ECOR3_B_0</stp>
        <stp>RHO</stp>
        <tr r="AR9" s="1"/>
      </tp>
      <tp t="e">
        <v>#N/A</v>
        <stp/>
        <stp>GOAU4_B_0</stp>
        <stp>DELTA</stp>
        <tr r="AO27" s="1"/>
      </tp>
      <tp t="e">
        <v>#N/A</v>
        <stp/>
        <stp>BRFS3_B_0</stp>
        <stp>TRIM</stp>
        <tr r="AG21" s="1"/>
      </tp>
      <tp t="e">
        <v>#N/A</v>
        <stp/>
        <stp>CYRE3_B_0</stp>
        <stp>OCP</stp>
        <tr r="R5" s="1"/>
      </tp>
      <tp t="e">
        <v>#N/A</v>
        <stp/>
        <stp>BBAS3_B_0</stp>
        <stp>TRIM</stp>
        <tr r="AG15" s="1"/>
      </tp>
      <tp t="e">
        <v>#N/A</v>
        <stp/>
        <stp>ABEV3_B_0</stp>
        <stp>SEMES</stp>
        <tr r="AH26" s="1"/>
      </tp>
      <tp t="e">
        <v>#N/A</v>
        <stp/>
        <stp>ITSA4_B_0</stp>
        <stp>NEG</stp>
        <tr r="N4" s="1"/>
      </tp>
      <tp t="e">
        <v>#N/A</v>
        <stp/>
        <stp>CSNA3_B_0</stp>
        <stp>SEM</stp>
        <tr r="AA6" s="1"/>
      </tp>
      <tp t="e">
        <v>#N/A</v>
        <stp/>
        <stp>GFSA3_B_0</stp>
        <stp>NEG</stp>
        <tr r="N10" s="1"/>
      </tp>
      <tp t="e">
        <v>#N/A</v>
        <stp/>
        <stp>B3SA3_B_0</stp>
        <stp>NEG</stp>
        <tr r="N28" s="1"/>
      </tp>
      <tp t="e">
        <v>#N/A</v>
        <stp/>
        <stp>MGLU3_B_0</stp>
        <stp>BLACK</stp>
        <tr r="AM17" s="1"/>
      </tp>
      <tp t="e">
        <v>#N/A</v>
        <stp/>
        <stp>MGLU3_B_0</stp>
        <stp>QUL</stp>
        <tr r="O17" s="1"/>
      </tp>
      <tp t="e">
        <v>#N/A</v>
        <stp/>
        <stp>MGLU3_B_0</stp>
        <stp>QTT</stp>
        <tr r="P17" s="1"/>
      </tp>
      <tp t="e">
        <v>#N/A</v>
        <stp/>
        <stp>MGLU3_B_0</stp>
        <stp>QTE</stp>
        <tr r="Y17" s="1"/>
      </tp>
      <tp t="e">
        <v>#N/A</v>
        <stp/>
        <stp>ITUB4_B_0</stp>
        <stp>HOR</stp>
        <tr r="C18" s="1"/>
      </tp>
      <tp t="e">
        <v>#N/A</v>
        <stp/>
        <stp>BRAP4_B_0</stp>
        <stp>VARPTS</stp>
        <tr r="K14" s="1"/>
      </tp>
      <tp t="e">
        <v>#N/A</v>
        <stp/>
        <stp>LREN3_B_0</stp>
        <stp>VARPTS</stp>
        <tr r="K7" s="1"/>
      </tp>
      <tp t="e">
        <v>#N/A</v>
        <stp/>
        <stp>BRFS3_B_0</stp>
        <stp>VARPTS</stp>
        <tr r="K21" s="1"/>
      </tp>
      <tp t="e">
        <v>#N/A</v>
        <stp/>
        <stp>BITFUT_F_0</stp>
        <stp>DOBRAR</stp>
        <tr r="AV4" s="2"/>
      </tp>
      <tp t="e">
        <v>#N/A</v>
        <stp/>
        <stp>MRVE3_B_0</stp>
        <stp>VARPTS</stp>
        <tr r="K11" s="1"/>
      </tp>
      <tp t="e">
        <v>#N/A</v>
        <stp/>
        <stp>BBAS3_B_0</stp>
        <stp>SEM</stp>
        <tr r="AA15" s="1"/>
      </tp>
      <tp t="e">
        <v>#N/A</v>
        <stp/>
        <stp>GGBR4_B_0</stp>
        <stp>PEX</stp>
        <tr r="I25" s="1"/>
      </tp>
      <tp t="e">
        <v>#N/A</v>
        <stp/>
        <stp>EMBR3_B_0</stp>
        <stp>PEX</stp>
        <tr r="I2" s="1"/>
      </tp>
      <tp t="e">
        <v>#N/A</v>
        <stp/>
        <stp>PETR4_B_0</stp>
        <stp>FEC</stp>
        <tr r="H22" s="1"/>
      </tp>
      <tp t="e">
        <v>#N/A</v>
        <stp/>
        <stp>BRAP4_B_0</stp>
        <stp>SEM</stp>
        <tr r="AA14" s="1"/>
      </tp>
      <tp t="e">
        <v>#N/A</v>
        <stp/>
        <stp>VIVT3_B_0</stp>
        <stp>DAT</stp>
        <tr r="B3" s="1"/>
      </tp>
      <tp t="e">
        <v>#N/A</v>
        <stp/>
        <stp>BBDC4_B_0</stp>
        <stp>VPJ</stp>
        <tr r="Z12" s="1"/>
      </tp>
      <tp t="e">
        <v>#N/A</v>
        <stp/>
        <stp>GOAU4_B_0</stp>
        <stp>SEM</stp>
        <tr r="AA27" s="1"/>
      </tp>
      <tp t="e">
        <v>#N/A</v>
        <stp/>
        <stp>BRFS3_B_0</stp>
        <stp>BLACK</stp>
        <tr r="AM21" s="1"/>
      </tp>
      <tp t="e">
        <v>#N/A</v>
        <stp/>
        <stp>ITSA4_B_0</stp>
        <stp>SEMES</stp>
        <tr r="AH4" s="1"/>
      </tp>
      <tp t="e">
        <v>#N/A</v>
        <stp/>
        <stp>ITUB4_B_0</stp>
        <stp>SEMES</stp>
        <tr r="AH18" s="1"/>
      </tp>
      <tp t="e">
        <v>#N/A</v>
        <stp/>
        <stp>CMIG4_B_0</stp>
        <stp>VIVH</stp>
        <tr r="AW20" s="1"/>
      </tp>
      <tp t="e">
        <v>#N/A</v>
        <stp/>
        <stp>WDOFUT_F_0</stp>
        <stp>RHO</stp>
        <tr r="AR2" s="2"/>
      </tp>
      <tp t="e">
        <v>#N/A</v>
        <stp/>
        <stp>WINFUT_F_0</stp>
        <stp>RHO</stp>
        <tr r="AR3" s="2"/>
      </tp>
      <tp t="e">
        <v>#N/A</v>
        <stp/>
        <stp>BBDC4_B_0</stp>
        <stp>VEN</stp>
        <tr r="AI12" s="1"/>
      </tp>
      <tp t="e">
        <v>#N/A</v>
        <stp/>
        <stp>CMIG4_B_0</stp>
        <stp>VINT</stp>
        <tr r="AX20" s="1"/>
      </tp>
      <tp t="e">
        <v>#N/A</v>
        <stp/>
        <stp>MRVE3_B_0</stp>
        <stp>DAT</stp>
        <tr r="B11" s="1"/>
      </tp>
      <tp t="e">
        <v>#N/A</v>
        <stp/>
        <stp>USIM5_B_0</stp>
        <stp>IMPVT</stp>
        <tr r="AN24" s="1"/>
      </tp>
      <tp t="e">
        <v>#N/A</v>
        <stp/>
        <stp>BBDC4_B_0</stp>
        <stp>VAR</stp>
        <tr r="J12" s="1"/>
      </tp>
      <tp t="e">
        <v>#N/A</v>
        <stp/>
        <stp>BBDC4_B_0</stp>
        <stp>VAL</stp>
        <tr r="AJ12" s="1"/>
      </tp>
      <tp t="e">
        <v>#N/A</v>
        <stp/>
        <stp>ITSA4_B_0</stp>
        <stp>ABE</stp>
        <tr r="E4" s="1"/>
      </tp>
      <tp t="e">
        <v>#N/A</v>
        <stp/>
        <stp>GFSA3_B_0</stp>
        <stp>ABE</stp>
        <tr r="E10" s="1"/>
      </tp>
      <tp t="e">
        <v>#N/A</v>
        <stp/>
        <stp>B3SA3_B_0</stp>
        <stp>ABE</stp>
        <tr r="E28" s="1"/>
      </tp>
      <tp t="e">
        <v>#N/A</v>
        <stp/>
        <stp>SUZB3_B_0</stp>
        <stp>IMPVT</stp>
        <tr r="AN19" s="1"/>
      </tp>
      <tp t="e">
        <v>#N/A</v>
        <stp/>
        <stp>EMBR3_B_0</stp>
        <stp>PRT</stp>
        <tr r="X2" s="1"/>
      </tp>
      <tp t="e">
        <v>#N/A</v>
        <stp/>
        <stp>GGBR4_B_0</stp>
        <stp>PRT</stp>
        <tr r="X25" s="1"/>
      </tp>
      <tp t="e">
        <v>#N/A</v>
        <stp/>
        <stp>BBAS3_B_0</stp>
        <stp>BLACK</stp>
        <tr r="AM15" s="1"/>
      </tp>
      <tp t="e">
        <v>#N/A</v>
        <stp/>
        <stp>BITFUT_F_0</stp>
        <stp>RHO</stp>
        <tr r="AR4" s="2"/>
      </tp>
      <tp t="e">
        <v>#N/A</v>
        <stp/>
        <stp>GFSA3_B_0</stp>
        <stp>ANO</stp>
        <tr r="AF10" s="1"/>
      </tp>
      <tp t="e">
        <v>#N/A</v>
        <stp/>
        <stp>B3SA3_B_0</stp>
        <stp>ANO</stp>
        <tr r="AF28" s="1"/>
      </tp>
      <tp t="e">
        <v>#N/A</v>
        <stp/>
        <stp>ITSA4_B_0</stp>
        <stp>ANO</stp>
        <tr r="AF4" s="1"/>
      </tp>
      <tp t="e">
        <v>#N/A</v>
        <stp/>
        <stp>BBDC4_B_0</stp>
        <stp>VOV</stp>
        <tr r="U12" s="1"/>
      </tp>
      <tp t="e">
        <v>#N/A</v>
        <stp/>
        <stp>BBDC4_B_0</stp>
        <stp>VOL</stp>
        <tr r="Q12" s="1"/>
      </tp>
      <tp t="e">
        <v>#N/A</v>
        <stp/>
        <stp>BBDC4_B_0</stp>
        <stp>VOC</stp>
        <tr r="T12" s="1"/>
      </tp>
      <tp t="e">
        <v>#N/A</v>
        <stp/>
        <stp>SUZB3_B_0</stp>
        <stp>HOR</stp>
        <tr r="C19" s="1"/>
      </tp>
      <tp t="e">
        <v>#N/A</v>
        <stp/>
        <stp>BBDC4_B_0</stp>
        <stp>VIB</stp>
        <tr r="AU12" s="1"/>
      </tp>
      <tp t="e">
        <v>#N/A</v>
        <stp/>
        <stp>BBDC4_B_0</stp>
        <stp>VIA</stp>
        <tr r="AT12" s="1"/>
      </tp>
      <tp t="e">
        <v>#N/A</v>
        <stp/>
        <stp>ITSA4_B_0</stp>
        <stp>AJU</stp>
        <tr r="V4" s="1"/>
      </tp>
      <tp t="e">
        <v>#N/A</v>
        <stp/>
        <stp>GFSA3_B_0</stp>
        <stp>AJU</stp>
        <tr r="V10" s="1"/>
      </tp>
      <tp t="e">
        <v>#N/A</v>
        <stp/>
        <stp>B3SA3_B_0</stp>
        <stp>AJU</stp>
        <tr r="V28" s="1"/>
      </tp>
      <tp t="e">
        <v>#N/A</v>
        <stp/>
        <stp>ITSA4_B_0</stp>
        <stp>AJA</stp>
        <tr r="W4" s="1"/>
      </tp>
      <tp t="e">
        <v>#N/A</v>
        <stp/>
        <stp>B3SA3_B_0</stp>
        <stp>AJA</stp>
        <tr r="W28" s="1"/>
      </tp>
      <tp t="e">
        <v>#N/A</v>
        <stp/>
        <stp>GFSA3_B_0</stp>
        <stp>AJA</stp>
        <tr r="W10" s="1"/>
      </tp>
      <tp t="e">
        <v>#N/A</v>
        <stp/>
        <stp>B3SA3_B_0</stp>
        <stp>BLACK</stp>
        <tr r="AM28" s="1"/>
      </tp>
      <tp t="e">
        <v>#N/A</v>
        <stp/>
        <stp>BITFUT_F_0</stp>
        <stp>VINT</stp>
        <tr r="AX4" s="2"/>
      </tp>
      <tp t="e">
        <v>#N/A</v>
        <stp/>
        <stp>BITFUT_F_0</stp>
        <stp>VIVH</stp>
        <tr r="AW4" s="2"/>
      </tp>
      <tp t="e">
        <v>#N/A</v>
        <stp/>
        <stp>WDOFUT_F_0</stp>
        <stp>SEM</stp>
        <tr r="AA2" s="2"/>
      </tp>
      <tp t="e">
        <v>#N/A</v>
        <stp/>
        <stp>WINFUT_F_0</stp>
        <stp>SEM</stp>
        <tr r="AA3" s="2"/>
      </tp>
      <tp t="e">
        <v>#N/A</v>
        <stp/>
        <stp>MRVE3_B_0</stp>
        <stp>EST</stp>
        <tr r="AL11" s="1"/>
      </tp>
      <tp t="e">
        <v>#N/A</v>
        <stp/>
        <stp>ABEV3_B_0</stp>
        <stp>VAR</stp>
        <tr r="J26" s="1"/>
      </tp>
      <tp t="e">
        <v>#N/A</v>
        <stp/>
        <stp>ABEV3_B_0</stp>
        <stp>VAL</stp>
        <tr r="AJ26" s="1"/>
      </tp>
      <tp t="e">
        <v>#N/A</v>
        <stp/>
        <stp>GFSA3_B_0</stp>
        <stp>THETA</stp>
        <tr r="AQ10" s="1"/>
      </tp>
      <tp t="e">
        <v>#N/A</v>
        <stp/>
        <stp>ABEV3_B_0</stp>
        <stp>VEN</stp>
        <tr r="AI26" s="1"/>
      </tp>
      <tp t="e">
        <v>#N/A</v>
        <stp/>
        <stp>RENT3_B_0</stp>
        <stp>IMPVT</stp>
        <tr r="AN13" s="1"/>
      </tp>
      <tp t="e">
        <v>#N/A</v>
        <stp/>
        <stp>CSNA3_B_0</stp>
        <stp>BLACK</stp>
        <tr r="AM6" s="1"/>
      </tp>
      <tp t="e">
        <v>#N/A</v>
        <stp/>
        <stp>LREN3_B_0</stp>
        <stp>VPJ</stp>
        <tr r="Z7" s="1"/>
      </tp>
      <tp t="e">
        <v>#N/A</v>
        <stp/>
        <stp>BRFS3_B_0</stp>
        <stp>ULT</stp>
        <tr r="D21" s="1"/>
      </tp>
      <tp t="e">
        <v>#N/A</v>
        <stp/>
        <stp>ABEV3_B_0</stp>
        <stp>VIB</stp>
        <tr r="AU26" s="1"/>
      </tp>
      <tp t="e">
        <v>#N/A</v>
        <stp/>
        <stp>ABEV3_B_0</stp>
        <stp>VIA</stp>
        <tr r="AT26" s="1"/>
      </tp>
      <tp t="e">
        <v>#N/A</v>
        <stp/>
        <stp>CIEL3_B_0</stp>
        <stp>VPJ</stp>
        <tr r="Z8" s="1"/>
      </tp>
      <tp t="e">
        <v>#N/A</v>
        <stp/>
        <stp>GOAU4_B_0</stp>
        <stp>RHO</stp>
        <tr r="AR27" s="1"/>
      </tp>
      <tp t="e">
        <v>#N/A</v>
        <stp/>
        <stp>CYRE3_B_0</stp>
        <stp>BLACK</stp>
        <tr r="AM5" s="1"/>
      </tp>
      <tp t="e">
        <v>#N/A</v>
        <stp/>
        <stp>BBAS3_B_0</stp>
        <stp>RHO</stp>
        <tr r="AR15" s="1"/>
      </tp>
      <tp t="e">
        <v>#N/A</v>
        <stp/>
        <stp>BRAP4_B_0</stp>
        <stp>RHO</stp>
        <tr r="AR14" s="1"/>
      </tp>
      <tp t="e">
        <v>#N/A</v>
        <stp/>
        <stp>ABEV3_B_0</stp>
        <stp>VOV</stp>
        <tr r="U26" s="1"/>
      </tp>
      <tp t="e">
        <v>#N/A</v>
        <stp/>
        <stp>ABEV3_B_0</stp>
        <stp>VOL</stp>
        <tr r="Q26" s="1"/>
      </tp>
      <tp t="e">
        <v>#N/A</v>
        <stp/>
        <stp>ABEV3_B_0</stp>
        <stp>VOC</stp>
        <tr r="T26" s="1"/>
      </tp>
      <tp t="e">
        <v>#N/A</v>
        <stp/>
        <stp>EMBR3_B_0</stp>
        <stp>QTT</stp>
        <tr r="P2" s="1"/>
      </tp>
      <tp t="e">
        <v>#N/A</v>
        <stp/>
        <stp>GGBR4_B_0</stp>
        <stp>QTT</stp>
        <tr r="P25" s="1"/>
      </tp>
      <tp t="e">
        <v>#N/A</v>
        <stp/>
        <stp>ABEV3_B_0</stp>
        <stp>VPJ</stp>
        <tr r="Z26" s="1"/>
      </tp>
      <tp t="e">
        <v>#N/A</v>
        <stp/>
        <stp>EMBR3_B_0</stp>
        <stp>QTE</stp>
        <tr r="Y2" s="1"/>
      </tp>
      <tp t="e">
        <v>#N/A</v>
        <stp/>
        <stp>GGBR4_B_0</stp>
        <stp>QTE</stp>
        <tr r="Y25" s="1"/>
      </tp>
      <tp t="e">
        <v>#N/A</v>
        <stp/>
        <stp>EMBR3_B_0</stp>
        <stp>QUL</stp>
        <tr r="O2" s="1"/>
      </tp>
      <tp t="e">
        <v>#N/A</v>
        <stp/>
        <stp>LREN3_B_0</stp>
        <stp>VIB</stp>
        <tr r="AU7" s="1"/>
      </tp>
      <tp t="e">
        <v>#N/A</v>
        <stp/>
        <stp>LREN3_B_0</stp>
        <stp>VIA</stp>
        <tr r="AT7" s="1"/>
      </tp>
      <tp t="e">
        <v>#N/A</v>
        <stp/>
        <stp>ITUB4_B_0</stp>
        <stp>FEC</stp>
        <tr r="H18" s="1"/>
      </tp>
      <tp t="e">
        <v>#N/A</v>
        <stp/>
        <stp>GGBR4_B_0</stp>
        <stp>QUL</stp>
        <tr r="O25" s="1"/>
      </tp>
      <tp t="e">
        <v>#N/A</v>
        <stp/>
        <stp>VIVT3_B_0</stp>
        <stp>EST</stp>
        <tr r="AL3" s="1"/>
      </tp>
      <tp t="e">
        <v>#N/A</v>
        <stp/>
        <stp>CYRE3_B_0</stp>
        <stp>ABE</stp>
        <tr r="E5" s="1"/>
      </tp>
      <tp t="e">
        <v>#N/A</v>
        <stp/>
        <stp>CYRE3_B_0</stp>
        <stp>101_psicotrade</stp>
        <tr r="AZ5" s="1"/>
      </tp>
      <tp t="e">
        <v>#N/A</v>
        <stp/>
        <stp>CIEL3_B_0</stp>
        <stp>VIA</stp>
        <tr r="AT8" s="1"/>
      </tp>
      <tp t="e">
        <v>#N/A</v>
        <stp/>
        <stp>CIEL3_B_0</stp>
        <stp>VIB</stp>
        <tr r="AU8" s="1"/>
      </tp>
      <tp t="e">
        <v>#N/A</v>
        <stp/>
        <stp>IBOV_B_0</stp>
        <stp>ULT</stp>
        <tr r="D23" s="1"/>
      </tp>
      <tp t="e">
        <v>#N/A</v>
        <stp/>
        <stp>BITFUT_F_0</stp>
        <stp>SEM</stp>
        <tr r="AA4" s="2"/>
      </tp>
      <tp t="e">
        <v>#N/A</v>
        <stp/>
        <stp>CIEL3_B_0</stp>
        <stp>VOV</stp>
        <tr r="U8" s="1"/>
      </tp>
      <tp t="e">
        <v>#N/A</v>
        <stp/>
        <stp>CIEL3_B_0</stp>
        <stp>VOL</stp>
        <tr r="Q8" s="1"/>
      </tp>
      <tp t="e">
        <v>#N/A</v>
        <stp/>
        <stp>CIEL3_B_0</stp>
        <stp>VOC</stp>
        <tr r="T8" s="1"/>
      </tp>
      <tp t="e">
        <v>#N/A</v>
        <stp/>
        <stp>ITUB4_B_0</stp>
        <stp>DELTA</stp>
        <tr r="AO18" s="1"/>
      </tp>
      <tp t="e">
        <v>#N/A</v>
        <stp/>
        <stp>ITSA4_B_0</stp>
        <stp>DELTA</stp>
        <tr r="AO4" s="1"/>
      </tp>
      <tp t="e">
        <v>#N/A</v>
        <stp/>
        <stp>LREN3_B_0</stp>
        <stp>VOV</stp>
        <tr r="U7" s="1"/>
      </tp>
      <tp t="e">
        <v>#N/A</v>
        <stp/>
        <stp>LREN3_B_0</stp>
        <stp>VOC</stp>
        <tr r="T7" s="1"/>
      </tp>
      <tp t="e">
        <v>#N/A</v>
        <stp/>
        <stp>LREN3_B_0</stp>
        <stp>VOL</stp>
        <tr r="Q7" s="1"/>
      </tp>
      <tp t="e">
        <v>#N/A</v>
        <stp/>
        <stp>LREN3_B_0</stp>
        <stp>VAR</stp>
        <tr r="J7" s="1"/>
      </tp>
      <tp t="e">
        <v>#N/A</v>
        <stp/>
        <stp>CYRE3_B_0</stp>
        <stp>AJU</stp>
        <tr r="V5" s="1"/>
      </tp>
      <tp t="e">
        <v>#N/A</v>
        <stp/>
        <stp>CYRE3_B_0</stp>
        <stp>AJA</stp>
        <tr r="W5" s="1"/>
      </tp>
      <tp t="e">
        <v>#N/A</v>
        <stp/>
        <stp>LREN3_B_0</stp>
        <stp>VAL</stp>
        <tr r="AJ7" s="1"/>
      </tp>
      <tp t="e">
        <v>#N/A</v>
        <stp/>
        <stp>LREN3_B_0</stp>
        <stp>GAMA</stp>
        <tr r="AP7" s="1"/>
      </tp>
      <tp t="e">
        <v>#N/A</v>
        <stp/>
        <stp>CIEL3_B_0</stp>
        <stp>VAR</stp>
        <tr r="J8" s="1"/>
      </tp>
      <tp t="e">
        <v>#N/A</v>
        <stp/>
        <stp>CIEL3_B_0</stp>
        <stp>VAL</stp>
        <tr r="AJ8" s="1"/>
      </tp>
      <tp t="e">
        <v>#N/A</v>
        <stp/>
        <stp>CIEL3_B_0</stp>
        <stp>BLACK</stp>
        <tr r="AM8" s="1"/>
      </tp>
      <tp t="e">
        <v>#N/A</v>
        <stp/>
        <stp>CYRE3_B_0</stp>
        <stp>ANO</stp>
        <tr r="AF5" s="1"/>
      </tp>
      <tp t="e">
        <v>#N/A</v>
        <stp/>
        <stp>LREN3_B_0</stp>
        <stp>VEN</stp>
        <tr r="AI7" s="1"/>
      </tp>
      <tp t="e">
        <v>#N/A</v>
        <stp/>
        <stp>CIEL3_B_0</stp>
        <stp>VEN</stp>
        <tr r="AI8" s="1"/>
      </tp>
      <tp t="e">
        <v>#N/A</v>
        <stp/>
        <stp>IBOV_B_0</stp>
        <stp>GAMA</stp>
        <tr r="AP23" s="1"/>
      </tp>
      <tp t="e">
        <v>#N/A</v>
        <stp/>
        <stp>WDOFUT_F_0</stp>
        <stp>PEX</stp>
        <tr r="I2" s="2"/>
      </tp>
      <tp t="e">
        <v>#N/A</v>
        <stp/>
        <stp>WINFUT_F_0</stp>
        <stp>PEX</stp>
        <tr r="I3" s="2"/>
      </tp>
      <tp t="e">
        <v>#N/A</v>
        <stp/>
        <stp>MRVE3_B_0</stp>
        <stp>VIVH</stp>
        <tr r="AW11" s="1"/>
      </tp>
      <tp t="e">
        <v>#N/A</v>
        <stp/>
        <stp>BRFS3_B_0</stp>
        <stp>VEN</stp>
        <tr r="AI21" s="1"/>
      </tp>
      <tp t="e">
        <v>#N/A</v>
        <stp/>
        <stp>LREN3_B_0</stp>
        <stp>SEMES</stp>
        <tr r="AH7" s="1"/>
      </tp>
      <tp t="e">
        <v>#N/A</v>
        <stp/>
        <stp>BITFUT_F_0</stp>
        <stp>PRT</stp>
        <tr r="X4" s="2"/>
      </tp>
      <tp t="e">
        <v>#N/A</v>
        <stp/>
        <stp>VALE3_B_0</stp>
        <stp>VINT</stp>
        <tr r="AX16" s="1"/>
      </tp>
      <tp t="e">
        <v>#N/A</v>
        <stp/>
        <stp>BRFS3_B_0</stp>
        <stp>VAR</stp>
        <tr r="J21" s="1"/>
      </tp>
      <tp t="e">
        <v>#N/A</v>
        <stp/>
        <stp>BRFS3_B_0</stp>
        <stp>VAL</stp>
        <tr r="AJ21" s="1"/>
      </tp>
      <tp t="e">
        <v>#N/A</v>
        <stp/>
        <stp>USIM5_B_0</stp>
        <stp>GAMA</stp>
        <tr r="AP24" s="1"/>
      </tp>
      <tp t="e">
        <v>#N/A</v>
        <stp/>
        <stp>PETR4_B_0</stp>
        <stp>DAT</stp>
        <tr r="B22" s="1"/>
      </tp>
      <tp t="e">
        <v>#N/A</v>
        <stp/>
        <stp>MGLU3_B_0</stp>
        <stp>DELTA</stp>
        <tr r="AO17" s="1"/>
      </tp>
      <tp t="e">
        <v>#N/A</v>
        <stp/>
        <stp>ITUB4_B_0</stp>
        <stp>EST</stp>
        <tr r="AL18" s="1"/>
      </tp>
      <tp t="e">
        <v>#N/A</v>
        <stp/>
        <stp>VIVT3_B_0</stp>
        <stp>FEC</stp>
        <tr r="H3" s="1"/>
      </tp>
      <tp t="e">
        <v>#N/A</v>
        <stp/>
        <stp>IBOV_B_0</stp>
        <stp>VPJ</stp>
        <tr r="Z23" s="1"/>
      </tp>
      <tp t="e">
        <v>#N/A</v>
        <stp/>
        <stp>BRFS3_B_0</stp>
        <stp>VOV</stp>
        <tr r="U21" s="1"/>
      </tp>
      <tp t="e">
        <v>#N/A</v>
        <stp/>
        <stp>BRFS3_B_0</stp>
        <stp>VOL</stp>
        <tr r="Q21" s="1"/>
      </tp>
      <tp t="e">
        <v>#N/A</v>
        <stp/>
        <stp>BRFS3_B_0</stp>
        <stp>VOC</stp>
        <tr r="T21" s="1"/>
      </tp>
      <tp t="e">
        <v>#N/A</v>
        <stp/>
        <stp>ABEV3_B_0</stp>
        <stp>ULT</stp>
        <tr r="D26" s="1"/>
      </tp>
      <tp t="e">
        <v>#N/A</v>
        <stp/>
        <stp>EMBR3_B_0</stp>
        <stp>RHO</stp>
        <tr r="AR2" s="1"/>
      </tp>
      <tp t="e">
        <v>#N/A</v>
        <stp/>
        <stp>GGBR4_B_0</stp>
        <stp>RHO</stp>
        <tr r="AR25" s="1"/>
      </tp>
      <tp t="e">
        <v>#N/A</v>
        <stp/>
        <stp>BRFS3_B_0</stp>
        <stp>VIA</stp>
        <tr r="AT21" s="1"/>
      </tp>
      <tp t="e">
        <v>#N/A</v>
        <stp/>
        <stp>BRFS3_B_0</stp>
        <stp>VIB</stp>
        <tr r="AU21" s="1"/>
      </tp>
      <tp t="e">
        <v>#N/A</v>
        <stp/>
        <stp>CYRE3_B_0</stp>
        <stp>VIVH</stp>
        <tr r="AW5" s="1"/>
      </tp>
      <tp t="e">
        <v>#N/A</v>
        <stp/>
        <stp>CMIG4_B_0</stp>
        <stp>THETA</stp>
        <tr r="AQ20" s="1"/>
      </tp>
      <tp t="e">
        <v>#N/A</v>
        <stp/>
        <stp>BBAS3_B_0</stp>
        <stp>QUL</stp>
        <tr r="O15" s="1"/>
      </tp>
      <tp t="e">
        <v>#N/A</v>
        <stp/>
        <stp>MRVE3_B_0</stp>
        <stp>DELTA</stp>
        <tr r="AO11" s="1"/>
      </tp>
      <tp t="e">
        <v>#N/A</v>
        <stp/>
        <stp>BBAS3_B_0</stp>
        <stp>QTT</stp>
        <tr r="P15" s="1"/>
      </tp>
      <tp t="e">
        <v>#N/A</v>
        <stp/>
        <stp>BBAS3_B_0</stp>
        <stp>QTE</stp>
        <tr r="Y15" s="1"/>
      </tp>
      <tp t="e">
        <v>#N/A</v>
        <stp/>
        <stp>IBOV_B_0</stp>
        <stp>VIB</stp>
        <tr r="AU23" s="1"/>
      </tp>
      <tp t="e">
        <v>#N/A</v>
        <stp/>
        <stp>IBOV_B_0</stp>
        <stp>VIA</stp>
        <tr r="AT23" s="1"/>
      </tp>
      <tp t="e">
        <v>#N/A</v>
        <stp/>
        <stp>BRAP4_B_0</stp>
        <stp>QTT</stp>
        <tr r="P14" s="1"/>
      </tp>
      <tp t="e">
        <v>#N/A</v>
        <stp/>
        <stp>BRAP4_B_0</stp>
        <stp>QTE</stp>
        <tr r="Y14" s="1"/>
      </tp>
      <tp t="e">
        <v>#N/A</v>
        <stp/>
        <stp>GGBR4_B_0</stp>
        <stp>BLACK</stp>
        <tr r="AM25" s="1"/>
      </tp>
      <tp t="e">
        <v>#N/A</v>
        <stp/>
        <stp>BRAP4_B_0</stp>
        <stp>QUL</stp>
        <tr r="O14" s="1"/>
      </tp>
      <tp t="e">
        <v>#N/A</v>
        <stp/>
        <stp>LREN3_B_0</stp>
        <stp>ULT</stp>
        <tr r="D7" s="1"/>
      </tp>
      <tp t="e">
        <v>#N/A</v>
        <stp/>
        <stp>BITFUT_F_0</stp>
        <stp>PEX</stp>
        <tr r="I4" s="2"/>
      </tp>
      <tp t="e">
        <v>#N/A</v>
        <stp/>
        <stp>BRFS3_B_0</stp>
        <stp>VPJ</stp>
        <tr r="Z21" s="1"/>
      </tp>
      <tp t="e">
        <v>#N/A</v>
        <stp/>
        <stp>CIEL3_B_0</stp>
        <stp>ULT</stp>
        <tr r="D8" s="1"/>
      </tp>
      <tp t="e">
        <v>#N/A</v>
        <stp/>
        <stp>MRVE3_B_0</stp>
        <stp>FEC</stp>
        <tr r="H11" s="1"/>
      </tp>
      <tp t="e">
        <v>#N/A</v>
        <stp/>
        <stp>ITSA4_B_0</stp>
        <stp>CAB</stp>
        <tr r="AK4" s="1"/>
      </tp>
      <tp t="e">
        <v>#N/A</v>
        <stp/>
        <stp>GOAU4_B_0</stp>
        <stp>QUL</stp>
        <tr r="O27" s="1"/>
      </tp>
      <tp t="e">
        <v>#N/A</v>
        <stp/>
        <stp>CYRE3_B_0</stp>
        <stp>VINT</stp>
        <tr r="AX5" s="1"/>
      </tp>
      <tp t="e">
        <v>#N/A</v>
        <stp/>
        <stp>B3SA3_B_0</stp>
        <stp>CAB</stp>
        <tr r="AK28" s="1"/>
      </tp>
      <tp t="e">
        <v>#N/A</v>
        <stp/>
        <stp>GFSA3_B_0</stp>
        <stp>CAB</stp>
        <tr r="AK10" s="1"/>
      </tp>
      <tp t="e">
        <v>#N/A</v>
        <stp/>
        <stp>WINFUT_F_0</stp>
        <stp>PRT</stp>
        <tr r="X3" s="2"/>
      </tp>
      <tp t="e">
        <v>#N/A</v>
        <stp/>
        <stp>WDOFUT_F_0</stp>
        <stp>PRT</stp>
        <tr r="X2" s="2"/>
      </tp>
      <tp t="e">
        <v>#N/A</v>
        <stp/>
        <stp>GOAU4_B_0</stp>
        <stp>QTT</stp>
        <tr r="P27" s="1"/>
      </tp>
      <tp t="e">
        <v>#N/A</v>
        <stp/>
        <stp>GOAU4_B_0</stp>
        <stp>QTE</stp>
        <tr r="Y27" s="1"/>
      </tp>
      <tp t="e">
        <v>#N/A</v>
        <stp/>
        <stp>IBOV_B_0</stp>
        <stp>VOL</stp>
        <tr r="Q23" s="1"/>
      </tp>
      <tp t="e">
        <v>#N/A</v>
        <stp/>
        <stp>IBOV_B_0</stp>
        <stp>VOC</stp>
        <tr r="T23" s="1"/>
      </tp>
      <tp t="e">
        <v>#N/A</v>
        <stp/>
        <stp>IBOV_B_0</stp>
        <stp>VOV</stp>
        <tr r="U23" s="1"/>
      </tp>
      <tp t="e">
        <v>#N/A</v>
        <stp/>
        <stp>MRVE3_B_0</stp>
        <stp>VINT</stp>
        <tr r="AX11" s="1"/>
      </tp>
      <tp t="e">
        <v>#N/A</v>
        <stp/>
        <stp>IBOV_B_0</stp>
        <stp>VAL</stp>
        <tr r="AJ23" s="1"/>
      </tp>
      <tp t="e">
        <v>#N/A</v>
        <stp/>
        <stp>IBOV_B_0</stp>
        <stp>VAR</stp>
        <tr r="J23" s="1"/>
      </tp>
      <tp t="e">
        <v>#N/A</v>
        <stp/>
        <stp>GOAU4_B_0</stp>
        <stp>BLACK</stp>
        <tr r="AM27" s="1"/>
      </tp>
      <tp t="e">
        <v>#N/A</v>
        <stp/>
        <stp>VALE3_B_0</stp>
        <stp>VIVH</stp>
        <tr r="AW16" s="1"/>
      </tp>
      <tp t="e">
        <v>#N/A</v>
        <stp/>
        <stp>IBOV_B_0</stp>
        <stp>VEN</stp>
        <tr r="AI23" s="1"/>
      </tp>
      <tp t="e">
        <v>#N/A</v>
        <stp/>
        <stp>BBAS3_B_0</stp>
        <stp>PEX</stp>
        <tr r="I15" s="1"/>
      </tp>
      <tp t="e">
        <v>#N/A</v>
        <stp/>
        <stp>BBDC4_B_0</stp>
        <stp>THETA</stp>
        <tr r="AQ12" s="1"/>
      </tp>
      <tp t="e">
        <v>#N/A</v>
        <stp/>
        <stp>EMBR3_B_0</stp>
        <stp>SEM</stp>
        <tr r="AA2" s="1"/>
      </tp>
      <tp t="e">
        <v>#N/A</v>
        <stp/>
        <stp>GGBR4_B_0</stp>
        <stp>SEM</stp>
        <tr r="AA25" s="1"/>
      </tp>
      <tp t="e">
        <v>#N/A</v>
        <stp/>
        <stp>ECOR3_B_0</stp>
        <stp>THETA</stp>
        <tr r="AQ9" s="1"/>
      </tp>
      <tp t="e">
        <v>#N/A</v>
        <stp/>
        <stp>MRVE3_B_0</stp>
        <stp>SEMES</stp>
        <tr r="AH11" s="1"/>
      </tp>
      <tp t="e">
        <v>#N/A</v>
        <stp/>
        <stp>BRAP4_B_0</stp>
        <stp>PEX</stp>
        <tr r="I14" s="1"/>
      </tp>
      <tp t="e">
        <v>#N/A</v>
        <stp/>
        <stp>BITFUT_F_0</stp>
        <stp>QTE</stp>
        <tr r="Y4" s="2"/>
      </tp>
      <tp t="e">
        <v>#N/A</v>
        <stp/>
        <stp>BITFUT_F_0</stp>
        <stp>QTT</stp>
        <tr r="P4" s="2"/>
      </tp>
      <tp t="e">
        <v>#N/A</v>
        <stp/>
        <stp>BITFUT_F_0</stp>
        <stp>QUL</stp>
        <tr r="O4" s="2"/>
      </tp>
      <tp t="e">
        <v>#N/A</v>
        <stp/>
        <stp>GOAU4_B_0</stp>
        <stp>PEX</stp>
        <tr r="I27" s="1"/>
      </tp>
      <tp t="e">
        <v>#N/A</v>
        <stp/>
        <stp>EMBR3_B_0</stp>
        <stp>THETA</stp>
        <tr r="AQ2" s="1"/>
      </tp>
      <tp t="e">
        <v>#N/A</v>
        <stp/>
        <stp>WDOFUT_F_0</stp>
        <stp>QUL</stp>
        <tr r="O2" s="2"/>
      </tp>
      <tp t="e">
        <v>#N/A</v>
        <stp/>
        <stp>WINFUT_F_0</stp>
        <stp>QUL</stp>
        <tr r="O3" s="2"/>
      </tp>
      <tp t="e">
        <v>#N/A</v>
        <stp/>
        <stp>LREN3_B_0</stp>
        <stp>DELTA</stp>
        <tr r="AO7" s="1"/>
      </tp>
      <tp t="e">
        <v>#N/A</v>
        <stp/>
        <stp>BRAP4_B_0</stp>
        <stp>THETA</stp>
        <tr r="AQ14" s="1"/>
      </tp>
      <tp t="e">
        <v>#N/A</v>
        <stp/>
        <stp>WINFUT_F_0</stp>
        <stp>QTE</stp>
        <tr r="Y3" s="2"/>
      </tp>
      <tp t="e">
        <v>#N/A</v>
        <stp/>
        <stp>WDOFUT_F_0</stp>
        <stp>QTE</stp>
        <tr r="Y2" s="2"/>
      </tp>
      <tp t="e">
        <v>#N/A</v>
        <stp/>
        <stp>WINFUT_F_0</stp>
        <stp>QTT</stp>
        <tr r="P3" s="2"/>
      </tp>
      <tp t="e">
        <v>#N/A</v>
        <stp/>
        <stp>WDOFUT_F_0</stp>
        <stp>QTT</stp>
        <tr r="P2" s="2"/>
      </tp>
      <tp t="e">
        <v>#N/A</v>
        <stp/>
        <stp>GOAU4_B_0</stp>
        <stp>PRT</stp>
        <tr r="X27" s="1"/>
      </tp>
      <tp t="e">
        <v>#N/A</v>
        <stp/>
        <stp>CYRE3_B_0</stp>
        <stp>CAB</stp>
        <tr r="AK5" s="1"/>
      </tp>
      <tp t="e">
        <v>#N/A</v>
        <stp/>
        <stp>BRAP4_B_0</stp>
        <stp>PRT</stp>
        <tr r="X14" s="1"/>
      </tp>
      <tp t="e">
        <v>#N/A</v>
        <stp/>
        <stp>MGLU3_B_0</stp>
        <stp>SEMES</stp>
        <tr r="AH17" s="1"/>
      </tp>
      <tp t="e">
        <v>#N/A</v>
        <stp/>
        <stp>ITUB4_B_0</stp>
        <stp>DAT</stp>
        <tr r="B18" s="1"/>
      </tp>
      <tp t="e">
        <v>#N/A</v>
        <stp/>
        <stp>CIEL3_B_0</stp>
        <stp>GAMA</stp>
        <tr r="AP8" s="1"/>
      </tp>
      <tp t="e">
        <v>#N/A</v>
        <stp/>
        <stp>BBAS3_B_0</stp>
        <stp>PRT</stp>
        <tr r="X15" s="1"/>
      </tp>
      <tp t="e">
        <v>#N/A</v>
        <stp/>
        <stp>PETR4_B_0</stp>
        <stp>EST</stp>
        <tr r="AL22" s="1"/>
      </tp>
      <tp t="e">
        <v>#N/A</v>
        <stp/>
        <stp>ABEV3_B_0</stp>
        <stp>BLACK</stp>
        <tr r="AM26" s="1"/>
      </tp>
      <tp t="e">
        <v>#N/A</v>
        <stp/>
        <stp>BBDC4_B_0</stp>
        <stp>ULT</stp>
        <tr r="D12" s="1"/>
      </tp>
      <tp t="e">
        <v>#N/A</v>
        <stp/>
        <stp>WDOFUT_F_0</stp>
        <stp>VEN</stp>
        <tr r="AI2" s="2"/>
      </tp>
      <tp t="e">
        <v>#N/A</v>
        <stp/>
        <stp>BITFUT_F_0</stp>
        <stp>VPJ</stp>
        <tr r="Z4" s="2"/>
      </tp>
      <tp t="e">
        <v>#N/A</v>
        <stp/>
        <stp>WINFUT_F_0</stp>
        <stp>VEN</stp>
        <tr r="AI3" s="2"/>
      </tp>
      <tp t="e">
        <v>#N/A</v>
        <stp/>
        <stp>BRFS3_B_0</stp>
        <stp>PEX</stp>
        <tr r="I21" s="1"/>
      </tp>
      <tp t="e">
        <v>#N/A</v>
        <stp/>
        <stp>BBAS3_B_0</stp>
        <stp>THETA</stp>
        <tr r="AQ15" s="1"/>
      </tp>
      <tp t="e">
        <v>#N/A</v>
        <stp/>
        <stp>WDOFUT_F_0</stp>
        <stp>VAL</stp>
        <tr r="AJ2" s="2"/>
      </tp>
      <tp t="e">
        <v>#N/A</v>
        <stp/>
        <stp>WINFUT_F_0</stp>
        <stp>VAL</stp>
        <tr r="AJ3" s="2"/>
      </tp>
      <tp t="e">
        <v>#N/A</v>
        <stp/>
        <stp>WINFUT_F_0</stp>
        <stp>VAR</stp>
        <tr r="J3" s="2"/>
      </tp>
      <tp t="e">
        <v>#N/A</v>
        <stp/>
        <stp>WDOFUT_F_0</stp>
        <stp>VAR</stp>
        <tr r="J2" s="2"/>
      </tp>
      <tp t="e">
        <v>#N/A</v>
        <stp/>
        <stp>ITSA4_B_0</stp>
        <stp>EST</stp>
        <tr r="AL4" s="1"/>
      </tp>
      <tp t="e">
        <v>#N/A</v>
        <stp/>
        <stp>GFSA3_B_0</stp>
        <stp>EST</stp>
        <tr r="AL10" s="1"/>
      </tp>
      <tp t="e">
        <v>#N/A</v>
        <stp/>
        <stp>B3SA3_B_0</stp>
        <stp>EST</stp>
        <tr r="AL28" s="1"/>
      </tp>
      <tp t="e">
        <v>#N/A</v>
        <stp/>
        <stp>ABEV3_B_0</stp>
        <stp>SEM</stp>
        <tr r="AA26" s="1"/>
      </tp>
      <tp t="e">
        <v>#N/A</v>
        <stp/>
        <stp>PETR4_B_0</stp>
        <stp>IMPVT</stp>
        <tr r="AN22" s="1"/>
      </tp>
      <tp t="e">
        <v>#N/A</v>
        <stp/>
        <stp>BBDC4_B_0</stp>
        <stp>VIVH</stp>
        <tr r="AW12" s="1"/>
      </tp>
      <tp t="e">
        <v>#N/A</v>
        <stp/>
        <stp>WDOFUT_F_0</stp>
        <stp>VOL</stp>
        <tr r="Q2" s="2"/>
      </tp>
      <tp t="e">
        <v>#N/A</v>
        <stp/>
        <stp>WINFUT_F_0</stp>
        <stp>VOC</stp>
        <tr r="T3" s="2"/>
      </tp>
      <tp t="e">
        <v>#N/A</v>
        <stp/>
        <stp>WINFUT_F_0</stp>
        <stp>VOL</stp>
        <tr r="Q3" s="2"/>
      </tp>
      <tp t="e">
        <v>#N/A</v>
        <stp/>
        <stp>WDOFUT_F_0</stp>
        <stp>VOC</stp>
        <tr r="T2" s="2"/>
      </tp>
      <tp t="e">
        <v>#N/A</v>
        <stp/>
        <stp>WINFUT_F_0</stp>
        <stp>VOV</stp>
        <tr r="U3" s="2"/>
      </tp>
      <tp t="e">
        <v>#N/A</v>
        <stp/>
        <stp>WDOFUT_F_0</stp>
        <stp>VOV</stp>
        <tr r="U2" s="2"/>
      </tp>
      <tp t="e">
        <v>#N/A</v>
        <stp/>
        <stp>IBOV_B_0</stp>
        <stp>PRT</stp>
        <tr r="X23" s="1"/>
      </tp>
      <tp t="e">
        <v>#N/A</v>
        <stp/>
        <stp>WINFUT_F_0</stp>
        <stp>VIA</stp>
        <tr r="AT3" s="2"/>
      </tp>
      <tp t="e">
        <v>#N/A</v>
        <stp/>
        <stp>WINFUT_F_0</stp>
        <stp>VIB</stp>
        <tr r="AU3" s="2"/>
      </tp>
      <tp t="e">
        <v>#N/A</v>
        <stp/>
        <stp>WDOFUT_F_0</stp>
        <stp>VIA</stp>
        <tr r="AT2" s="2"/>
      </tp>
      <tp t="e">
        <v>#N/A</v>
        <stp/>
        <stp>WDOFUT_F_0</stp>
        <stp>VIB</stp>
        <tr r="AU2" s="2"/>
      </tp>
      <tp t="e">
        <v>#N/A</v>
        <stp/>
        <stp>BBDC4_B_0</stp>
        <stp>VINT</stp>
        <tr r="AX12" s="1"/>
      </tp>
      <tp t="e">
        <v>#N/A</v>
        <stp/>
        <stp>BRFS3_B_0</stp>
        <stp>THETA</stp>
        <tr r="AQ21" s="1"/>
      </tp>
      <tp t="e">
        <v>#N/A</v>
        <stp/>
        <stp>BITFUT_F_0</stp>
        <stp>VAL</stp>
        <tr r="AJ4" s="2"/>
      </tp>
      <tp t="e">
        <v>#N/A</v>
        <stp/>
        <stp>BITFUT_F_0</stp>
        <stp>VAR</stp>
        <tr r="J4" s="2"/>
      </tp>
      <tp t="e">
        <v>#N/A</v>
        <stp/>
        <stp>CYRE3_B_0</stp>
        <stp>DAT</stp>
        <tr r="B5" s="1"/>
      </tp>
      <tp t="e">
        <v>#N/A</v>
        <stp/>
        <stp>WDOFUT_F_0</stp>
        <stp>VPJ</stp>
        <tr r="Z2" s="2"/>
      </tp>
      <tp t="e">
        <v>#N/A</v>
        <stp/>
        <stp>WINFUT_F_0</stp>
        <stp>VPJ</stp>
        <tr r="Z3" s="2"/>
      </tp>
      <tp t="e">
        <v>#N/A</v>
        <stp/>
        <stp>BITFUT_F_0</stp>
        <stp>VEN</stp>
        <tr r="AI4" s="2"/>
      </tp>
      <tp t="e">
        <v>#N/A</v>
        <stp/>
        <stp>ITUB4_B_0</stp>
        <stp>CAB</stp>
        <tr r="AK18" s="1"/>
      </tp>
      <tp t="e">
        <v>#N/A</v>
        <stp/>
        <stp>BRFS3_B_0</stp>
        <stp>PRT</stp>
        <tr r="X21" s="1"/>
      </tp>
      <tp t="e">
        <v>#N/A</v>
        <stp/>
        <stp>BITFUT_F_0</stp>
        <stp>VIA</stp>
        <tr r="AT4" s="2"/>
      </tp>
      <tp t="e">
        <v>#N/A</v>
        <stp/>
        <stp>BITFUT_F_0</stp>
        <stp>VIB</stp>
        <tr r="AU4" s="2"/>
      </tp>
      <tp t="e">
        <v>#N/A</v>
        <stp/>
        <stp>BBDC4_B_0</stp>
        <stp>RHO</stp>
        <tr r="AR12" s="1"/>
      </tp>
      <tp t="e">
        <v>#N/A</v>
        <stp/>
        <stp>LREN3_B_0</stp>
        <stp>SEM</stp>
        <tr r="AA7" s="1"/>
      </tp>
      <tp t="e">
        <v>#N/A</v>
        <stp/>
        <stp>IBOV_B_0</stp>
        <stp>PEX</stp>
        <tr r="I23" s="1"/>
      </tp>
      <tp t="e">
        <v>#N/A</v>
        <stp/>
        <stp>BITFUT_F_0</stp>
        <stp>VOC</stp>
        <tr r="T4" s="2"/>
      </tp>
      <tp t="e">
        <v>#N/A</v>
        <stp/>
        <stp>BITFUT_F_0</stp>
        <stp>VOL</stp>
        <tr r="Q4" s="2"/>
      </tp>
      <tp t="e">
        <v>#N/A</v>
        <stp/>
        <stp>BITFUT_F_0</stp>
        <stp>VOV</stp>
        <tr r="U4" s="2"/>
      </tp>
      <tp t="e">
        <v>#N/A</v>
        <stp/>
        <stp>CIEL3_B_0</stp>
        <stp>SEM</stp>
        <tr r="AA8" s="1"/>
      </tp>
      <tp t="e">
        <v>#N/A</v>
        <stp/>
        <stp>B3SA3_B_0</stp>
        <stp>THETA</stp>
        <tr r="AQ28" s="1"/>
      </tp>
      <tp t="e">
        <v>#N/A</v>
        <stp/>
        <stp>CYRE3_B_0</stp>
        <stp>VARPTS</stp>
        <tr r="K5" s="1"/>
      </tp>
      <tp t="e">
        <v>#N/A</v>
        <stp/>
        <stp>VIVT3_B_0</stp>
        <stp>ABE</stp>
        <tr r="E3" s="1"/>
      </tp>
      <tp t="e">
        <v>#N/A</v>
        <stp/>
        <stp>CYRE3_B_0</stp>
        <stp>EST</stp>
        <tr r="AL5" s="1"/>
      </tp>
      <tp t="e">
        <v>#N/A</v>
        <stp/>
        <stp>BBAS3_B_0</stp>
        <stp>VEN</stp>
        <tr r="AI15" s="1"/>
      </tp>
      <tp t="e">
        <v>#N/A</v>
        <stp/>
        <stp>VALE3_B_0</stp>
        <stp>IMPVT</stp>
        <tr r="AN16" s="1"/>
      </tp>
      <tp t="e">
        <v>#N/A</v>
        <stp/>
        <stp>GOAU4_B_0</stp>
        <stp>VAR</stp>
        <tr r="J27" s="1"/>
      </tp>
      <tp t="e">
        <v>#N/A</v>
        <stp/>
        <stp>GOAU4_B_0</stp>
        <stp>VAL</stp>
        <tr r="AJ27" s="1"/>
      </tp>
      <tp t="e">
        <v>#N/A</v>
        <stp/>
        <stp>ITUB4_B_0</stp>
        <stp>VIVH</stp>
        <tr r="AW18" s="1"/>
      </tp>
      <tp t="e">
        <v>#N/A</v>
        <stp/>
        <stp>BRAP4_B_0</stp>
        <stp>VEN</stp>
        <tr r="AI14" s="1"/>
      </tp>
      <tp t="e">
        <v>#N/A</v>
        <stp/>
        <stp>BBAS3_B_0</stp>
        <stp>VAR</stp>
        <tr r="J15" s="1"/>
      </tp>
      <tp t="e">
        <v>#N/A</v>
        <stp/>
        <stp>BBAS3_B_0</stp>
        <stp>VAL</stp>
        <tr r="AJ15" s="1"/>
      </tp>
      <tp t="e">
        <v>#N/A</v>
        <stp/>
        <stp>PETR4_B_0</stp>
        <stp>CAB</stp>
        <tr r="AK22" s="1"/>
      </tp>
      <tp t="e">
        <v>#N/A</v>
        <stp/>
        <stp>GOAU4_B_0</stp>
        <stp>VEN</stp>
        <tr r="AI27" s="1"/>
      </tp>
      <tp t="e">
        <v>#N/A</v>
        <stp/>
        <stp>SUZB3_B_0</stp>
        <stp>VINT</stp>
        <tr r="AX19" s="1"/>
      </tp>
      <tp t="e">
        <v>#N/A</v>
        <stp/>
        <stp>BRAP4_B_0</stp>
        <stp>VAR</stp>
        <tr r="J14" s="1"/>
      </tp>
      <tp t="e">
        <v>#N/A</v>
        <stp/>
        <stp>BRAP4_B_0</stp>
        <stp>VAL</stp>
        <tr r="AJ14" s="1"/>
      </tp>
      <tp t="e">
        <v>#N/A</v>
        <stp/>
        <stp>EMBR3_B_0</stp>
        <stp>ULT</stp>
        <tr r="D2" s="1"/>
      </tp>
      <tp t="e">
        <v>#N/A</v>
        <stp/>
        <stp>VIVT3_B_0</stp>
        <stp>AJA</stp>
        <tr r="W3" s="1"/>
      </tp>
      <tp t="e">
        <v>#N/A</v>
        <stp/>
        <stp>GGBR4_B_0</stp>
        <stp>ULT</stp>
        <tr r="D25" s="1"/>
      </tp>
      <tp t="e">
        <v>#N/A</v>
        <stp/>
        <stp>ABEV3_B_0</stp>
        <stp>RHO</stp>
        <tr r="AR26" s="1"/>
      </tp>
      <tp t="e">
        <v>#N/A</v>
        <stp/>
        <stp>VIVT3_B_0</stp>
        <stp>AJU</stp>
        <tr r="V3" s="1"/>
      </tp>
      <tp t="e">
        <v>#N/A</v>
        <stp/>
        <stp>BRAP4_B_0</stp>
        <stp>VOV</stp>
        <tr r="U14" s="1"/>
      </tp>
      <tp t="e">
        <v>#N/A</v>
        <stp/>
        <stp>BRAP4_B_0</stp>
        <stp>VOL</stp>
        <tr r="Q14" s="1"/>
      </tp>
      <tp t="e">
        <v>#N/A</v>
        <stp/>
        <stp>BRAP4_B_0</stp>
        <stp>VOC</stp>
        <tr r="T14" s="1"/>
      </tp>
      <tp t="e">
        <v>#N/A</v>
        <stp/>
        <stp>VIVT3_B_0</stp>
        <stp>IMPVT</stp>
        <tr r="AN3" s="1"/>
      </tp>
      <tp t="e">
        <v>#N/A</v>
        <stp/>
        <stp>BBAS3_B_0</stp>
        <stp>VOV</stp>
        <tr r="U15" s="1"/>
      </tp>
      <tp t="e">
        <v>#N/A</v>
        <stp/>
        <stp>BBAS3_B_0</stp>
        <stp>VOL</stp>
        <tr r="Q15" s="1"/>
      </tp>
      <tp t="e">
        <v>#N/A</v>
        <stp/>
        <stp>GOAU4_B_0</stp>
        <stp>VIB</stp>
        <tr r="AU27" s="1"/>
      </tp>
      <tp t="e">
        <v>#N/A</v>
        <stp/>
        <stp>BBAS3_B_0</stp>
        <stp>VOC</stp>
        <tr r="T15" s="1"/>
      </tp>
      <tp t="e">
        <v>#N/A</v>
        <stp/>
        <stp>GOAU4_B_0</stp>
        <stp>VIA</stp>
        <tr r="AT27" s="1"/>
      </tp>
      <tp t="e">
        <v>#N/A</v>
        <stp/>
        <stp>CIEL3_B_0</stp>
        <stp>THETA</stp>
        <tr r="AQ8" s="1"/>
      </tp>
      <tp t="e">
        <v>#N/A</v>
        <stp/>
        <stp>VIVT3_B_0</stp>
        <stp>ANO</stp>
        <tr r="AF3" s="1"/>
      </tp>
      <tp t="e">
        <v>#N/A</v>
        <stp/>
        <stp>GOAU4_B_0</stp>
        <stp>VOV</stp>
        <tr r="U27" s="1"/>
      </tp>
      <tp t="e">
        <v>#N/A</v>
        <stp/>
        <stp>GOAU4_B_0</stp>
        <stp>VOL</stp>
        <tr r="Q27" s="1"/>
      </tp>
      <tp t="e">
        <v>#N/A</v>
        <stp/>
        <stp>BBAS3_B_0</stp>
        <stp>VIA</stp>
        <tr r="AT15" s="1"/>
      </tp>
      <tp t="e">
        <v>#N/A</v>
        <stp/>
        <stp>GOAU4_B_0</stp>
        <stp>VOC</stp>
        <tr r="T27" s="1"/>
      </tp>
      <tp t="e">
        <v>#N/A</v>
        <stp/>
        <stp>BBAS3_B_0</stp>
        <stp>VIB</stp>
        <tr r="AU15" s="1"/>
      </tp>
      <tp t="e">
        <v>#N/A</v>
        <stp/>
        <stp>IBOV_B_0</stp>
        <stp>QTE</stp>
        <tr r="Y23" s="1"/>
      </tp>
      <tp t="e">
        <v>#N/A</v>
        <stp/>
        <stp>IBOV_B_0</stp>
        <stp>QTT</stp>
        <tr r="P23" s="1"/>
      </tp>
      <tp t="e">
        <v>#N/A</v>
        <stp/>
        <stp>IBOV_B_0</stp>
        <stp>QUL</stp>
        <tr r="O23" s="1"/>
      </tp>
      <tp t="e">
        <v>#N/A</v>
        <stp/>
        <stp>LREN3_B_0</stp>
        <stp>VEXT</stp>
        <tr r="AY7" s="1"/>
      </tp>
      <tp t="e">
        <v>#N/A</v>
        <stp/>
        <stp>BRAP4_B_0</stp>
        <stp>VIB</stp>
        <tr r="AU14" s="1"/>
      </tp>
      <tp t="e">
        <v>#N/A</v>
        <stp/>
        <stp>BRAP4_B_0</stp>
        <stp>VIA</stp>
        <tr r="AT14" s="1"/>
      </tp>
      <tp t="e">
        <v>#N/A</v>
        <stp/>
        <stp>LREN3_B_0</stp>
        <stp>VEGA</stp>
        <tr r="AS7" s="1"/>
      </tp>
      <tp t="e">
        <v>#N/A</v>
        <stp/>
        <stp>BBDC4_B_0</stp>
        <stp>SEM</stp>
        <tr r="AA12" s="1"/>
      </tp>
      <tp t="e">
        <v>#N/A</v>
        <stp/>
        <stp>BRFS3_B_0</stp>
        <stp>QUL</stp>
        <tr r="O21" s="1"/>
      </tp>
      <tp t="e">
        <v>#N/A</v>
        <stp/>
        <stp>LREN3_B_0</stp>
        <stp>RHO</stp>
        <tr r="AR7" s="1"/>
      </tp>
      <tp t="e">
        <v>#N/A</v>
        <stp/>
        <stp>SUZB3_B_0</stp>
        <stp>MED</stp>
        <tr r="L19" s="1"/>
      </tp>
      <tp t="e">
        <v>#N/A</v>
        <stp/>
        <stp>BRFS3_B_0</stp>
        <stp>QTT</stp>
        <tr r="P21" s="1"/>
      </tp>
      <tp t="e">
        <v>#N/A</v>
        <stp/>
        <stp>MRVE3_B_0</stp>
        <stp>ABE</stp>
        <tr r="E11" s="1"/>
      </tp>
      <tp t="e">
        <v>#N/A</v>
        <stp/>
        <stp>SUZB3_B_0</stp>
        <stp>MES</stp>
        <tr r="AB19" s="1"/>
      </tp>
      <tp t="e">
        <v>#N/A</v>
        <stp/>
        <stp>BRFS3_B_0</stp>
        <stp>QTE</stp>
        <tr r="Y21" s="1"/>
      </tp>
      <tp t="e">
        <v>#N/A</v>
        <stp/>
        <stp>CSNA3_B_0</stp>
        <stp>THETA</stp>
        <tr r="AQ6" s="1"/>
      </tp>
      <tp t="e">
        <v>#N/A</v>
        <stp/>
        <stp>CIEL3_B_0</stp>
        <stp>RHO</stp>
        <tr r="AR8" s="1"/>
      </tp>
      <tp t="e">
        <v>#N/A</v>
        <stp/>
        <stp>GOAU4_B_0</stp>
        <stp>VPJ</stp>
        <tr r="Z27" s="1"/>
      </tp>
      <tp t="e">
        <v>#N/A</v>
        <stp/>
        <stp>GFSA3_B_0</stp>
        <stp>BLACK</stp>
        <tr r="AM10" s="1"/>
      </tp>
      <tp t="e">
        <v>#N/A</v>
        <stp/>
        <stp>SUZB3_B_0</stp>
        <stp>MAX</stp>
        <tr r="F19" s="1"/>
      </tp>
      <tp t="e">
        <v>#N/A</v>
        <stp/>
        <stp>BBAS3_B_0</stp>
        <stp>VPJ</stp>
        <tr r="Z15" s="1"/>
      </tp>
      <tp t="e">
        <v>#N/A</v>
        <stp/>
        <stp>ITSA4_B_0</stp>
        <stp>DAT</stp>
        <tr r="B4" s="1"/>
      </tp>
      <tp t="e">
        <v>#N/A</v>
        <stp/>
        <stp>GFSA3_B_0</stp>
        <stp>DAT</stp>
        <tr r="B10" s="1"/>
      </tp>
      <tp t="e">
        <v>#N/A</v>
        <stp/>
        <stp>B3SA3_B_0</stp>
        <stp>DAT</stp>
        <tr r="B28" s="1"/>
      </tp>
      <tp t="e">
        <v>#N/A</v>
        <stp/>
        <stp>BRAP4_B_0</stp>
        <stp>VPJ</stp>
        <tr r="Z14" s="1"/>
      </tp>
      <tp t="e">
        <v>#N/A</v>
        <stp/>
        <stp>MRVE3_B_0</stp>
        <stp>AJU</stp>
        <tr r="V11" s="1"/>
      </tp>
      <tp t="e">
        <v>#N/A</v>
        <stp/>
        <stp>MRVE3_B_0</stp>
        <stp>AJA</stp>
        <tr r="W11" s="1"/>
      </tp>
      <tp t="e">
        <v>#N/A</v>
        <stp/>
        <stp>ITUB4_B_0</stp>
        <stp>VINT</stp>
        <tr r="AX18" s="1"/>
      </tp>
      <tp t="e">
        <v>#N/A</v>
        <stp/>
        <stp>CYRE3_B_0</stp>
        <stp>THETA</stp>
        <tr r="AQ5" s="1"/>
      </tp>
      <tp t="e">
        <v>#N/A</v>
        <stp/>
        <stp>SUZB3_B_0</stp>
        <stp>MIN</stp>
        <tr r="G19" s="1"/>
      </tp>
      <tp t="e">
        <v>#N/A</v>
        <stp/>
        <stp>MRVE3_B_0</stp>
        <stp>ANO</stp>
        <tr r="AF11" s="1"/>
      </tp>
      <tp t="e">
        <v>#N/A</v>
        <stp/>
        <stp>SUZB3_B_0</stp>
        <stp>VIVH</stp>
        <tr r="AW19" s="1"/>
      </tp>
      <tp t="e">
        <v>#N/A</v>
        <stp/>
        <stp>IBOV_B_0</stp>
        <stp>VEGA</stp>
        <tr r="AS23" s="1"/>
      </tp>
      <tp t="e">
        <v>#N/A</v>
        <stp/>
        <stp>IBOV_B_0</stp>
        <stp>VEXT</stp>
        <tr r="AY23" s="1"/>
      </tp>
      <tp t="e">
        <v>#N/A</v>
        <stp/>
        <stp>EMBR3_B_0</stp>
        <stp>VEN</stp>
        <tr r="AI2" s="1"/>
      </tp>
      <tp t="e">
        <v>#N/A</v>
        <stp/>
        <stp>GGBR4_B_0</stp>
        <stp>VEN</stp>
        <tr r="AI25" s="1"/>
      </tp>
      <tp t="e">
        <v>#N/A</v>
        <stp/>
        <stp>ITSA4_B_0</stp>
        <stp>VIVH</stp>
        <tr r="AW4" s="1"/>
      </tp>
      <tp t="e">
        <v>#N/A</v>
        <stp/>
        <stp>GGBR4_B_0</stp>
        <stp>VAR</stp>
        <tr r="J25" s="1"/>
      </tp>
      <tp t="e">
        <v>#N/A</v>
        <stp/>
        <stp>EMBR3_B_0</stp>
        <stp>VAR</stp>
        <tr r="J2" s="1"/>
      </tp>
      <tp t="e">
        <v>#N/A</v>
        <stp/>
        <stp>EMBR3_B_0</stp>
        <stp>VAL</stp>
        <tr r="AJ2" s="1"/>
      </tp>
      <tp t="e">
        <v>#N/A</v>
        <stp/>
        <stp>GGBR4_B_0</stp>
        <stp>VAL</stp>
        <tr r="AJ25" s="1"/>
      </tp>
      <tp t="e">
        <v>#N/A</v>
        <stp/>
        <stp>GGBR4_B_0</stp>
        <stp>THETA</stp>
        <tr r="AQ25" s="1"/>
      </tp>
      <tp t="e">
        <v>#N/A</v>
        <stp/>
        <stp>BBDC4_B_0</stp>
        <stp>PRT</stp>
        <tr r="X12" s="1"/>
      </tp>
      <tp t="e">
        <v>#N/A</v>
        <stp/>
        <stp>BBAS3_B_0</stp>
        <stp>ULT</stp>
        <tr r="D15" s="1"/>
      </tp>
      <tp t="e">
        <v>#N/A</v>
        <stp/>
        <stp>BRAP4_B_0</stp>
        <stp>ULT</stp>
        <tr r="D14" s="1"/>
      </tp>
      <tp t="e">
        <v>#N/A</v>
        <stp/>
        <stp>GFSA3_B_0</stp>
        <stp>VIVH</stp>
        <tr r="AW10" s="1"/>
      </tp>
      <tp t="e">
        <v>#N/A</v>
        <stp/>
        <stp>EMBR3_B_0</stp>
        <stp>VOV</stp>
        <tr r="U2" s="1"/>
      </tp>
      <tp t="e">
        <v>#N/A</v>
        <stp/>
        <stp>GGBR4_B_0</stp>
        <stp>VOV</stp>
        <tr r="U25" s="1"/>
      </tp>
      <tp t="e">
        <v>#N/A</v>
        <stp/>
        <stp>EMBR3_B_0</stp>
        <stp>VOL</stp>
        <tr r="Q2" s="1"/>
      </tp>
      <tp t="e">
        <v>#N/A</v>
        <stp/>
        <stp>GGBR4_B_0</stp>
        <stp>VOL</stp>
        <tr r="Q25" s="1"/>
      </tp>
      <tp t="e">
        <v>#N/A</v>
        <stp/>
        <stp>GGBR4_B_0</stp>
        <stp>VOC</stp>
        <tr r="T25" s="1"/>
      </tp>
      <tp t="e">
        <v>#N/A</v>
        <stp/>
        <stp>EMBR3_B_0</stp>
        <stp>VOC</stp>
        <tr r="T2" s="1"/>
      </tp>
      <tp t="e">
        <v>#N/A</v>
        <stp/>
        <stp>LREN3_B_0</stp>
        <stp>QTT</stp>
        <tr r="P7" s="1"/>
      </tp>
      <tp t="e">
        <v>#N/A</v>
        <stp/>
        <stp>LREN3_B_0</stp>
        <stp>QTE</stp>
        <tr r="Y7" s="1"/>
      </tp>
      <tp t="e">
        <v>#N/A</v>
        <stp/>
        <stp>BRFS3_B_0</stp>
        <stp>RHO</stp>
        <tr r="AR21" s="1"/>
      </tp>
      <tp t="e">
        <v>#N/A</v>
        <stp/>
        <stp>GGBR4_B_0</stp>
        <stp>VIB</stp>
        <tr r="AU25" s="1"/>
      </tp>
      <tp t="e">
        <v>#N/A</v>
        <stp/>
        <stp>GGBR4_B_0</stp>
        <stp>VIA</stp>
        <tr r="AT25" s="1"/>
      </tp>
      <tp t="e">
        <v>#N/A</v>
        <stp/>
        <stp>LREN3_B_0</stp>
        <stp>QUL</stp>
        <tr r="O7" s="1"/>
      </tp>
      <tp t="e">
        <v>#N/A</v>
        <stp/>
        <stp>EMBR3_B_0</stp>
        <stp>VIB</stp>
        <tr r="AU2" s="1"/>
      </tp>
      <tp t="e">
        <v>#N/A</v>
        <stp/>
        <stp>EMBR3_B_0</stp>
        <stp>VIA</stp>
        <tr r="AT2" s="1"/>
      </tp>
      <tp t="e">
        <v>#N/A</v>
        <stp/>
        <stp>GOAU4_B_0</stp>
        <stp>THETA</stp>
        <tr r="AQ27" s="1"/>
      </tp>
      <tp t="e">
        <v>#N/A</v>
        <stp/>
        <stp>CSNA3_B_0</stp>
        <stp>VIVH</stp>
        <tr r="AW6" s="1"/>
      </tp>
      <tp t="e">
        <v>#N/A</v>
        <stp/>
        <stp>CIEL3_B_0</stp>
        <stp>QTT</stp>
        <tr r="P8" s="1"/>
      </tp>
      <tp t="e">
        <v>#N/A</v>
        <stp/>
        <stp>CIEL3_B_0</stp>
        <stp>QTE</stp>
        <tr r="Y8" s="1"/>
      </tp>
      <tp t="e">
        <v>#N/A</v>
        <stp/>
        <stp>USIM5_B_0</stp>
        <stp>VEGA</stp>
        <tr r="AS24" s="1"/>
      </tp>
      <tp t="e">
        <v>#N/A</v>
        <stp/>
        <stp>GOAU4_B_0</stp>
        <stp>ULT</stp>
        <tr r="D27" s="1"/>
      </tp>
      <tp t="e">
        <v>#N/A</v>
        <stp/>
        <stp>CIEL3_B_0</stp>
        <stp>QUL</stp>
        <tr r="O8" s="1"/>
      </tp>
      <tp t="e">
        <v>#N/A</v>
        <stp/>
        <stp>B3SA3_B_0</stp>
        <stp>VIVH</stp>
        <tr r="AW28" s="1"/>
      </tp>
      <tp t="e">
        <v>#N/A</v>
        <stp/>
        <stp>BBDC4_B_0</stp>
        <stp>PEX</stp>
        <tr r="I12" s="1"/>
      </tp>
      <tp t="e">
        <v>#N/A</v>
        <stp/>
        <stp>USIM5_B_0</stp>
        <stp>VEXT</stp>
        <tr r="AY24" s="1"/>
      </tp>
      <tp t="e">
        <v>#N/A</v>
        <stp/>
        <stp>IBOV_B_0</stp>
        <stp>RHO</stp>
        <tr r="AR23" s="1"/>
      </tp>
      <tp t="e">
        <v>#N/A</v>
        <stp/>
        <stp>SUZB3_B_0</stp>
        <stp>NEG</stp>
        <tr r="N19" s="1"/>
      </tp>
      <tp t="e">
        <v>#N/A</v>
        <stp/>
        <stp>GFSA3_B_0</stp>
        <stp>VINT</stp>
        <tr r="AX10" s="1"/>
      </tp>
      <tp t="e">
        <v>#N/A</v>
        <stp/>
        <stp>ABEV3_B_0</stp>
        <stp>QTT</stp>
        <tr r="P26" s="1"/>
      </tp>
      <tp t="e">
        <v>#N/A</v>
        <stp/>
        <stp>GGBR4_B_0</stp>
        <stp>VPJ</stp>
        <tr r="Z25" s="1"/>
      </tp>
      <tp t="e">
        <v>#N/A</v>
        <stp/>
        <stp>EMBR3_B_0</stp>
        <stp>VPJ</stp>
        <tr r="Z2" s="1"/>
      </tp>
      <tp t="e">
        <v>#N/A</v>
        <stp/>
        <stp>ABEV3_B_0</stp>
        <stp>QTE</stp>
        <tr r="Y26" s="1"/>
      </tp>
      <tp t="e">
        <v>#N/A</v>
        <stp/>
        <stp>ABEV3_B_0</stp>
        <stp>QUL</stp>
        <tr r="O26" s="1"/>
      </tp>
      <tp t="e">
        <v>#N/A</v>
        <stp/>
        <stp>CSNA3_B_0</stp>
        <stp>VINT</stp>
        <tr r="AX6" s="1"/>
      </tp>
      <tp t="e">
        <v>#N/A</v>
        <stp/>
        <stp>ITUB4_B_0</stp>
        <stp>ABE</stp>
        <tr r="E18" s="1"/>
      </tp>
      <tp t="e">
        <v>#N/A</v>
        <stp/>
        <stp>CYRE3_B_0</stp>
        <stp>FEC</stp>
        <tr r="H5" s="1"/>
      </tp>
      <tp t="e">
        <v>#N/A</v>
        <stp/>
        <stp>B3SA3_B_0</stp>
        <stp>VINT</stp>
        <tr r="AX28" s="1"/>
      </tp>
      <tp t="e">
        <v>#N/A</v>
        <stp/>
        <stp>CMIG4_B_0</stp>
        <stp>BLACK</stp>
        <tr r="AM20" s="1"/>
      </tp>
      <tp t="e">
        <v>#N/A</v>
        <stp/>
        <stp>ITUB4_B_0</stp>
        <stp>ANO</stp>
        <tr r="AF18" s="1"/>
      </tp>
      <tp t="e">
        <v>#N/A</v>
        <stp/>
        <stp>ITSA4_B_0</stp>
        <stp>VINT</stp>
        <tr r="AX4" s="1"/>
      </tp>
      <tp t="e">
        <v>#N/A</v>
        <stp/>
        <stp>ITUB4_B_0</stp>
        <stp>AJU</stp>
        <tr r="V18" s="1"/>
      </tp>
      <tp t="e">
        <v>#N/A</v>
        <stp/>
        <stp>ITUB4_B_0</stp>
        <stp>AJA</stp>
        <tr r="W18" s="1"/>
      </tp>
      <tp t="e">
        <v>#N/A</v>
        <stp/>
        <stp>CYRE3_B_0</stp>
        <stp>DOBRAR</stp>
        <tr r="AV5" s="1"/>
      </tp>
      <tp t="e">
        <v>#N/A</v>
        <stp/>
        <stp>CIEL3_B_0</stp>
        <stp>VEXT</stp>
        <tr r="AY8" s="1"/>
      </tp>
      <tp t="e">
        <v>#N/A</v>
        <stp/>
        <stp>BBDC4_B_0</stp>
        <stp>QUL</stp>
        <tr r="O12" s="1"/>
      </tp>
      <tp t="e">
        <v>#N/A</v>
        <stp/>
        <stp>BRFS3_B_0</stp>
        <stp>SEM</stp>
        <tr r="AA21" s="1"/>
      </tp>
      <tp t="e">
        <v>#N/A</v>
        <stp/>
        <stp>ABEV3_B_0</stp>
        <stp>THETA</stp>
        <tr r="AQ26" s="1"/>
      </tp>
      <tp t="e">
        <v>#N/A</v>
        <stp/>
        <stp>BBDC4_B_0</stp>
        <stp>QTT</stp>
        <tr r="P12" s="1"/>
      </tp>
      <tp t="e">
        <v>#N/A</v>
        <stp/>
        <stp>BBDC4_B_0</stp>
        <stp>QTE</stp>
        <tr r="Y12" s="1"/>
      </tp>
      <tp t="e">
        <v>#N/A</v>
        <stp/>
        <stp>SUZB3_B_0</stp>
        <stp>OVD</stp>
        <tr r="S19" s="1"/>
      </tp>
      <tp t="e">
        <v>#N/A</v>
        <stp/>
        <stp>VIVT3_B_0</stp>
        <stp>CAB</stp>
        <tr r="AK3" s="1"/>
      </tp>
      <tp t="e">
        <v>#N/A</v>
        <stp/>
        <stp>ABEV3_B_0</stp>
        <stp>PEX</stp>
        <tr r="I26" s="1"/>
      </tp>
      <tp t="e">
        <v>#N/A</v>
        <stp/>
        <stp>PETR4_B_0</stp>
        <stp>ABE</stp>
        <tr r="E22" s="1"/>
      </tp>
      <tp t="e">
        <v>#N/A</v>
        <stp/>
        <stp>BRAP4_B_0</stp>
        <stp>BLACK</stp>
        <tr r="AM14" s="1"/>
      </tp>
      <tp t="e">
        <v>#N/A</v>
        <stp/>
        <stp>CIEL3_B_0</stp>
        <stp>PRT</stp>
        <tr r="X8" s="1"/>
      </tp>
      <tp t="e">
        <v>#N/A</v>
        <stp/>
        <stp>WINFUT_F_0</stp>
        <stp>ULT</stp>
        <tr r="D3" s="2"/>
      </tp>
      <tp t="e">
        <v>#N/A</v>
        <stp/>
        <stp>WDOFUT_F_0</stp>
        <stp>ULT</stp>
        <tr r="D2" s="2"/>
      </tp>
      <tp t="e">
        <v>#N/A</v>
        <stp/>
        <stp>LREN3_B_0</stp>
        <stp>PRT</stp>
        <tr r="X7" s="1"/>
      </tp>
      <tp t="e">
        <v>#N/A</v>
        <stp/>
        <stp>PETR4_B_0</stp>
        <stp>ANO</stp>
        <tr r="AF22" s="1"/>
      </tp>
      <tp t="e">
        <v>#N/A</v>
        <stp/>
        <stp>PETR4_B_0</stp>
        <stp>AJA</stp>
        <tr r="W22" s="1"/>
      </tp>
      <tp t="e">
        <v>#N/A</v>
        <stp/>
        <stp>PETR4_B_0</stp>
        <stp>AJU</stp>
        <tr r="V22" s="1"/>
      </tp>
      <tp t="e">
        <v>#N/A</v>
        <stp/>
        <stp>ABEV3_B_0</stp>
        <stp>PRT</stp>
        <tr r="X26" s="1"/>
      </tp>
      <tp t="e">
        <v>#N/A</v>
        <stp/>
        <stp>MRVE3_B_0</stp>
        <stp>CAB</stp>
        <tr r="AK11" s="1"/>
      </tp>
      <tp t="e">
        <v>#N/A</v>
        <stp/>
        <stp>ITSA4_B_0</stp>
        <stp>FEC</stp>
        <tr r="H4" s="1"/>
      </tp>
      <tp t="e">
        <v>#N/A</v>
        <stp/>
        <stp>B3SA3_B_0</stp>
        <stp>FEC</stp>
        <tr r="H28" s="1"/>
      </tp>
      <tp t="e">
        <v>#N/A</v>
        <stp/>
        <stp>GFSA3_B_0</stp>
        <stp>FEC</stp>
        <tr r="H10" s="1"/>
      </tp>
      <tp t="e">
        <v>#N/A</v>
        <stp/>
        <stp>ECOR3_B_0</stp>
        <stp>BLACK</stp>
        <tr r="AM9" s="1"/>
      </tp>
      <tp t="e">
        <v>#N/A</v>
        <stp/>
        <stp>SUZB3_B_0</stp>
        <stp>OCP</stp>
        <tr r="R19" s="1"/>
      </tp>
      <tp t="e">
        <v>#N/A</v>
        <stp/>
        <stp>BBDC4_B_0</stp>
        <stp>BLACK</stp>
        <tr r="AM12" s="1"/>
      </tp>
      <tp t="e">
        <v>#N/A</v>
        <stp/>
        <stp>EMBR3_B_0</stp>
        <stp>BLACK</stp>
        <tr r="AM2" s="1"/>
      </tp>
      <tp t="e">
        <v>#N/A</v>
        <stp/>
        <stp>BITFUT_F_0</stp>
        <stp>ULT</stp>
        <tr r="D4" s="2"/>
      </tp>
      <tp t="e">
        <v>#N/A</v>
        <stp/>
        <stp>LREN3_B_0</stp>
        <stp>PEX</stp>
        <tr r="I7" s="1"/>
      </tp>
      <tp t="e">
        <v>#N/A</v>
        <stp/>
        <stp>IBOV_B_0</stp>
        <stp>SEM</stp>
        <tr r="AA23" s="1"/>
      </tp>
      <tp t="e">
        <v>#N/A</v>
        <stp/>
        <stp>CIEL3_B_0</stp>
        <stp>PEX</stp>
        <tr r="I8" s="1"/>
      </tp>
      <tp t="e">
        <v>#N/A</v>
        <stp/>
        <stp>CIEL3_B_0</stp>
        <stp>VEGA</stp>
        <tr r="AS8" s="1"/>
      </tp>
      <tp t="e">
        <v>#N/A</v>
        <stp/>
        <stp>SUZB3_B_0</stp>
        <stp>12M</stp>
        <tr r="AE19" s="1"/>
      </tp>
      <tp t="e">
        <v>#N/A</v>
        <stp/>
        <stp>IBOV_B_0</stp>
        <stp>DELTA</stp>
        <tr r="AO23" s="1"/>
      </tp>
      <tp t="e">
        <v>#N/A</v>
        <stp/>
        <stp>IBOV_B_0</stp>
        <stp>SEMES</stp>
        <tr r="AH23" s="1"/>
      </tp>
      <tp t="e">
        <v>#N/A</v>
        <stp/>
        <stp>GFSA3_B_0</stp>
        <stp>12M</stp>
        <tr r="AE10" s="1"/>
      </tp>
      <tp t="e">
        <v>#N/A</v>
        <stp/>
        <stp>B3SA3_B_0</stp>
        <stp>12M</stp>
        <tr r="AE28" s="1"/>
      </tp>
      <tp t="e">
        <v>#N/A</v>
        <stp/>
        <stp>ITSA4_B_0</stp>
        <stp>12M</stp>
        <tr r="AE4" s="1"/>
      </tp>
      <tp t="e">
        <v>#N/A</v>
        <stp/>
        <stp>CYRE3_B_0</stp>
        <stp>12M</stp>
        <tr r="AE5" s="1"/>
      </tp>
      <tp t="e">
        <v>#N/A</v>
        <stp/>
        <stp>IBOV_B_0</stp>
        <stp>THETA</stp>
        <tr r="AQ23" s="1"/>
      </tp>
      <tp t="e">
        <v>#N/A</v>
        <stp/>
        <stp>MRVE3_B_0</stp>
        <stp>12M</stp>
        <tr r="AE11" s="1"/>
      </tp>
      <tp t="e">
        <v>#N/A</v>
        <stp/>
        <stp>VIVT3_B_0</stp>
        <stp>12M</stp>
        <tr r="AE3" s="1"/>
      </tp>
      <tp t="e">
        <v>#N/A</v>
        <stp/>
        <stp>ITUB4_B_0</stp>
        <stp>12M</stp>
        <tr r="AE18" s="1"/>
      </tp>
      <tp t="e">
        <v>#N/A</v>
        <stp/>
        <stp>PETR4_B_0</stp>
        <stp>12M</stp>
        <tr r="AE22" s="1"/>
      </tp>
      <tp t="e">
        <v>#N/A</v>
        <stp/>
        <stp>IBOV_B_0</stp>
        <stp>BLACK</stp>
        <tr r="AM23" s="1"/>
      </tp>
      <tp t="e">
        <v>#N/A</v>
        <stp/>
        <stp>CMIG4_B_0</stp>
        <stp>12M</stp>
        <tr r="AE20" s="1"/>
      </tp>
      <tp t="e">
        <v>#N/A</v>
        <stp/>
        <stp>USIM5_B_0</stp>
        <stp>12M</stp>
        <tr r="AE24" s="1"/>
      </tp>
      <tp t="e">
        <v>#N/A</v>
        <stp/>
        <stp>B3SA3_B_0</stp>
        <stp>101_psicotrade</stp>
        <tr r="AZ28" s="1"/>
      </tp>
      <tp t="e">
        <v>#N/A</v>
        <stp/>
        <stp>ECOR3_B_0</stp>
        <stp>12M</stp>
        <tr r="AE9" s="1"/>
      </tp>
      <tp t="e">
        <v>#N/A</v>
        <stp/>
        <stp>B3SA3_B_0</stp>
        <stp>DOBRAR</stp>
        <tr r="AV28" s="1"/>
      </tp>
      <tp t="e">
        <v>#N/A</v>
        <stp/>
        <stp>CSNA3_B_0</stp>
        <stp>12M</stp>
        <tr r="AE6" s="1"/>
      </tp>
      <tp t="e">
        <v>#N/A</v>
        <stp/>
        <stp>RENT3_B_0</stp>
        <stp>12M</stp>
        <tr r="AE13" s="1"/>
      </tp>
      <tp t="e">
        <v>#N/A</v>
        <stp/>
        <stp>B3SA3_B_0</stp>
        <stp>VARPTS</stp>
        <tr r="K28" s="1"/>
      </tp>
      <tp t="e">
        <v>#N/A</v>
        <stp/>
        <stp>VALE3_B_0</stp>
        <stp>12M</stp>
        <tr r="AE16" s="1"/>
      </tp>
      <tp t="e">
        <v>#N/A</v>
        <stp/>
        <stp>MGLU3_B_0</stp>
        <stp>12M</stp>
        <tr r="AE17" s="1"/>
      </tp>
      <tp t="e">
        <v>#N/A</v>
        <stp/>
        <stp>EMBR3_B_0</stp>
        <stp>12M</stp>
        <tr r="AE2" s="1"/>
      </tp>
      <tp t="e">
        <v>#N/A</v>
        <stp/>
        <stp>GGBR4_B_0</stp>
        <stp>12M</stp>
        <tr r="AE25" s="1"/>
      </tp>
      <tp t="e">
        <v>#N/A</v>
        <stp/>
        <stp>GOAU4_B_0</stp>
        <stp>12M</stp>
        <tr r="AE27" s="1"/>
      </tp>
      <tp t="e">
        <v>#N/A</v>
        <stp/>
        <stp>BRAP4_B_0</stp>
        <stp>12M</stp>
        <tr r="AE14" s="1"/>
      </tp>
      <tp t="e">
        <v>#N/A</v>
        <stp/>
        <stp>BBAS3_B_0</stp>
        <stp>12M</stp>
        <tr r="AE15" s="1"/>
      </tp>
      <tp t="e">
        <v>#N/A</v>
        <stp/>
        <stp>BITFUT_F_0</stp>
        <stp>12M</stp>
        <tr r="AE4" s="2"/>
      </tp>
      <tp t="e">
        <v>#N/A</v>
        <stp/>
        <stp>WDOFUT_F_0</stp>
        <stp>12M</stp>
        <tr r="AE2" s="2"/>
      </tp>
      <tp t="e">
        <v>#N/A</v>
        <stp/>
        <stp>WINFUT_F_0</stp>
        <stp>12M</stp>
        <tr r="AE3" s="2"/>
      </tp>
      <tp t="e">
        <v>#N/A</v>
        <stp/>
        <stp>IBOV_B_0</stp>
        <stp>12M</stp>
        <tr r="AE23" s="1"/>
      </tp>
      <tp t="e">
        <v>#N/A</v>
        <stp/>
        <stp>BRFS3_B_0</stp>
        <stp>12M</stp>
        <tr r="AE21" s="1"/>
      </tp>
      <tp t="e">
        <v>#N/A</v>
        <stp/>
        <stp>CIEL3_B_0</stp>
        <stp>12M</stp>
        <tr r="AE8" s="1"/>
      </tp>
      <tp t="e">
        <v>#N/A</v>
        <stp/>
        <stp>LREN3_B_0</stp>
        <stp>12M</stp>
        <tr r="AE7" s="1"/>
      </tp>
      <tp t="e">
        <v>#N/A</v>
        <stp/>
        <stp>ABEV3_B_0</stp>
        <stp>12M</stp>
        <tr r="AE26" s="1"/>
      </tp>
      <tp t="e">
        <v>#N/A</v>
        <stp/>
        <stp>IBOV_B_0</stp>
        <stp>IMPVT</stp>
        <tr r="AN23" s="1"/>
      </tp>
      <tp t="e">
        <v>#N/A</v>
        <stp/>
        <stp>BBDC4_B_0</stp>
        <stp>12M</stp>
        <tr r="AE12" s="1"/>
      </tp>
      <tp t="e">
        <v>#N/A</v>
        <stp/>
        <stp>BITFUT_F_0</stp>
        <stp>3M</stp>
        <tr r="AC4" s="2"/>
      </tp>
      <tp t="e">
        <v>#N/A</v>
        <stp/>
        <stp>BITFUT_F_0</stp>
        <stp>6M</stp>
        <tr r="AD4" s="2"/>
      </tp>
      <tp t="e">
        <v>#N/A</v>
        <stp/>
        <stp>BITFUT_F_0</stp>
        <stp>67</stp>
        <tr r="BA4" s="2"/>
      </tp>
      <tp t="e">
        <v>#N/A</v>
        <stp/>
        <stp>USIM5_B_0</stp>
        <stp>3M</stp>
        <tr r="AC24" s="1"/>
      </tp>
      <tp t="e">
        <v>#N/A</v>
        <stp/>
        <stp>CSNA3_B_0</stp>
        <stp>6M</stp>
        <tr r="AD6" s="1"/>
      </tp>
      <tp t="e">
        <v>#N/A</v>
        <stp/>
        <stp>CSNA3_B_0</stp>
        <stp>67</stp>
        <tr r="BA6" s="1"/>
      </tp>
      <tp t="e">
        <v>#N/A</v>
        <stp/>
        <stp>USIM5_B_0</stp>
        <stp>6M</stp>
        <tr r="AD24" s="1"/>
      </tp>
      <tp t="e">
        <v>#N/A</v>
        <stp/>
        <stp>USIM5_B_0</stp>
        <stp>67</stp>
        <tr r="BA24" s="1"/>
      </tp>
      <tp t="e">
        <v>#N/A</v>
        <stp/>
        <stp>CSNA3_B_0</stp>
        <stp>3M</stp>
        <tr r="AC6" s="1"/>
      </tp>
      <tp t="e">
        <v>#N/A</v>
        <stp/>
        <stp>MRVE3_B_0</stp>
        <stp>6M</stp>
        <tr r="AD11" s="1"/>
      </tp>
      <tp t="e">
        <v>#N/A</v>
        <stp/>
        <stp>MRVE3_B_0</stp>
        <stp>67</stp>
        <tr r="BA11" s="1"/>
      </tp>
      <tp t="e">
        <v>#N/A</v>
        <stp/>
        <stp>MRVE3_B_0</stp>
        <stp>3M</stp>
        <tr r="AC11" s="1"/>
      </tp>
      <tp t="e">
        <v>#N/A</v>
        <stp/>
        <stp>BRAP4_B_0</stp>
        <stp>3M</stp>
        <tr r="AC14" s="1"/>
      </tp>
      <tp t="e">
        <v>#N/A</v>
        <stp/>
        <stp>LREN3_B_0</stp>
        <stp>6M</stp>
        <tr r="AD7" s="1"/>
      </tp>
      <tp t="e">
        <v>#N/A</v>
        <stp/>
        <stp>LREN3_B_0</stp>
        <stp>67</stp>
        <tr r="BA7" s="1"/>
      </tp>
      <tp t="e">
        <v>#N/A</v>
        <stp/>
        <stp>BRFS3_B_0</stp>
        <stp>6M</stp>
        <tr r="AD21" s="1"/>
      </tp>
      <tp t="e">
        <v>#N/A</v>
        <stp/>
        <stp>BRFS3_B_0</stp>
        <stp>67</stp>
        <tr r="BA21" s="1"/>
      </tp>
      <tp t="e">
        <v>#N/A</v>
        <stp/>
        <stp>LREN3_B_0</stp>
        <stp>3M</stp>
        <tr r="AC7" s="1"/>
      </tp>
      <tp t="e">
        <v>#N/A</v>
        <stp/>
        <stp>BRAP4_B_0</stp>
        <stp>6M</stp>
        <tr r="AD14" s="1"/>
      </tp>
      <tp t="e">
        <v>#N/A</v>
        <stp/>
        <stp>BRAP4_B_0</stp>
        <stp>67</stp>
        <tr r="BA14" s="1"/>
      </tp>
      <tp t="e">
        <v>#N/A</v>
        <stp/>
        <stp>BRFS3_B_0</stp>
        <stp>3M</stp>
        <tr r="AC21" s="1"/>
      </tp>
      <tp t="e">
        <v>#N/A</v>
        <stp/>
        <stp>SUZB3_B_0</stp>
        <stp>3M</stp>
        <tr r="AC19" s="1"/>
      </tp>
      <tp t="e">
        <v>#N/A</v>
        <stp/>
        <stp>SUZB3_B_0</stp>
        <stp>6M</stp>
        <tr r="AD19" s="1"/>
      </tp>
      <tp t="e">
        <v>#N/A</v>
        <stp/>
        <stp>SUZB3_B_0</stp>
        <stp>67</stp>
        <tr r="BA19" s="1"/>
      </tp>
      <tp t="e">
        <v>#N/A</v>
        <stp/>
        <stp>ITUB4_B_0</stp>
        <stp>6M</stp>
        <tr r="AD18" s="1"/>
      </tp>
      <tp t="e">
        <v>#N/A</v>
        <stp/>
        <stp>ITUB4_B_0</stp>
        <stp>67</stp>
        <tr r="BA18" s="1"/>
      </tp>
      <tp t="e">
        <v>#N/A</v>
        <stp/>
        <stp>ITSA4_B_0</stp>
        <stp>3M</stp>
        <tr r="AC4" s="1"/>
      </tp>
      <tp t="e">
        <v>#N/A</v>
        <stp/>
        <stp>ITUB4_B_0</stp>
        <stp>3M</stp>
        <tr r="AC18" s="1"/>
      </tp>
      <tp t="e">
        <v>#N/A</v>
        <stp/>
        <stp>ITSA4_B_0</stp>
        <stp>6M</stp>
        <tr r="AD4" s="1"/>
      </tp>
      <tp t="e">
        <v>#N/A</v>
        <stp/>
        <stp>ITSA4_B_0</stp>
        <stp>67</stp>
        <tr r="BA4" s="1"/>
      </tp>
      <tp t="e">
        <v>#N/A</v>
        <stp/>
        <stp>CYRE3_B_0</stp>
        <stp>3M</stp>
        <tr r="AC5" s="1"/>
      </tp>
      <tp t="e">
        <v>#N/A</v>
        <stp/>
        <stp>CYRE3_B_0</stp>
        <stp>6M</stp>
        <tr r="AD5" s="1"/>
      </tp>
      <tp t="e">
        <v>#N/A</v>
        <stp/>
        <stp>CYRE3_B_0</stp>
        <stp>67</stp>
        <tr r="BA5" s="1"/>
      </tp>
      <tp t="e">
        <v>#N/A</v>
        <stp/>
        <stp>VALE3_B_0</stp>
        <stp>6M</stp>
        <tr r="AD16" s="1"/>
      </tp>
      <tp t="e">
        <v>#N/A</v>
        <stp/>
        <stp>VALE3_B_0</stp>
        <stp>67</stp>
        <tr r="BA16" s="1"/>
      </tp>
      <tp t="e">
        <v>#N/A</v>
        <stp/>
        <stp>VALE3_B_0</stp>
        <stp>3M</stp>
        <tr r="AC16" s="1"/>
      </tp>
      <tp t="e">
        <v>#N/A</v>
        <stp/>
        <stp>ECOR3_B_0</stp>
        <stp>6M</stp>
        <tr r="AD9" s="1"/>
      </tp>
      <tp t="e">
        <v>#N/A</v>
        <stp/>
        <stp>ECOR3_B_0</stp>
        <stp>67</stp>
        <tr r="BA9" s="1"/>
      </tp>
      <tp t="e">
        <v>#N/A</v>
        <stp/>
        <stp>ECOR3_B_0</stp>
        <stp>3M</stp>
        <tr r="AC9" s="1"/>
      </tp>
      <tp t="e">
        <v>#N/A</v>
        <stp/>
        <stp>BBAS3_B_0</stp>
        <stp>3M</stp>
        <tr r="AC15" s="1"/>
      </tp>
      <tp t="e">
        <v>#N/A</v>
        <stp/>
        <stp>BBDC4_B_0</stp>
        <stp>6M</stp>
        <tr r="AD12" s="1"/>
      </tp>
      <tp t="e">
        <v>#N/A</v>
        <stp/>
        <stp>BBDC4_B_0</stp>
        <stp>67</stp>
        <tr r="BA12" s="1"/>
      </tp>
      <tp t="e">
        <v>#N/A</v>
        <stp/>
        <stp>ABEV3_B_0</stp>
        <stp>6M</stp>
        <tr r="AD26" s="1"/>
      </tp>
      <tp t="e">
        <v>#N/A</v>
        <stp/>
        <stp>ABEV3_B_0</stp>
        <stp>67</stp>
        <tr r="BA26" s="1"/>
      </tp>
      <tp t="e">
        <v>#N/A</v>
        <stp/>
        <stp>ABEV3_B_0</stp>
        <stp>3M</stp>
        <tr r="AC26" s="1"/>
      </tp>
      <tp t="e">
        <v>#N/A</v>
        <stp/>
        <stp>BBAS3_B_0</stp>
        <stp>6M</stp>
        <tr r="AD15" s="1"/>
      </tp>
      <tp t="e">
        <v>#N/A</v>
        <stp/>
        <stp>BBDC4_B_0</stp>
        <stp>3M</stp>
        <tr r="AC12" s="1"/>
      </tp>
      <tp t="e">
        <v>#N/A</v>
        <stp/>
        <stp>BBAS3_B_0</stp>
        <stp>67</stp>
        <tr r="BA15" s="1"/>
      </tp>
      <tp t="e">
        <v>#N/A</v>
        <stp/>
        <stp>PETR4_B_0</stp>
        <stp>6M</stp>
        <tr r="AD22" s="1"/>
      </tp>
      <tp t="e">
        <v>#N/A</v>
        <stp/>
        <stp>PETR4_B_0</stp>
        <stp>67</stp>
        <tr r="BA22" s="1"/>
      </tp>
      <tp t="e">
        <v>#N/A</v>
        <stp/>
        <stp>PETR4_B_0</stp>
        <stp>3M</stp>
        <tr r="AC22" s="1"/>
      </tp>
      <tp t="e">
        <v>#N/A</v>
        <stp/>
        <stp>RENT3_B_0</stp>
        <stp>6M</stp>
        <tr r="AD13" s="1"/>
      </tp>
      <tp t="e">
        <v>#N/A</v>
        <stp/>
        <stp>RENT3_B_0</stp>
        <stp>67</stp>
        <tr r="BA13" s="1"/>
      </tp>
      <tp t="e">
        <v>#N/A</v>
        <stp/>
        <stp>RENT3_B_0</stp>
        <stp>3M</stp>
        <tr r="AC13" s="1"/>
      </tp>
      <tp t="e">
        <v>#N/A</v>
        <stp/>
        <stp>MGLU3_B_0</stp>
        <stp>6M</stp>
        <tr r="AD17" s="1"/>
      </tp>
      <tp t="e">
        <v>#N/A</v>
        <stp/>
        <stp>MGLU3_B_0</stp>
        <stp>67</stp>
        <tr r="BA17" s="1"/>
      </tp>
      <tp t="e">
        <v>#N/A</v>
        <stp/>
        <stp>MGLU3_B_0</stp>
        <stp>3M</stp>
        <tr r="AC17" s="1"/>
      </tp>
      <tp t="e">
        <v>#N/A</v>
        <stp/>
        <stp>GGBR4_B_0</stp>
        <stp>3M</stp>
        <tr r="AC25" s="1"/>
      </tp>
      <tp t="e">
        <v>#N/A</v>
        <stp/>
        <stp>GGBR4_B_0</stp>
        <stp>6M</stp>
        <tr r="AD25" s="1"/>
      </tp>
      <tp t="e">
        <v>#N/A</v>
        <stp/>
        <stp>GGBR4_B_0</stp>
        <stp>67</stp>
        <tr r="BA25" s="1"/>
      </tp>
      <tp t="e">
        <v>#N/A</v>
        <stp/>
        <stp>GFSA3_B_0</stp>
        <stp>3M</stp>
        <tr r="AC10" s="1"/>
      </tp>
      <tp t="e">
        <v>#N/A</v>
        <stp/>
        <stp>GFSA3_B_0</stp>
        <stp>6M</stp>
        <tr r="AD10" s="1"/>
      </tp>
      <tp t="e">
        <v>#N/A</v>
        <stp/>
        <stp>GFSA3_B_0</stp>
        <stp>67</stp>
        <tr r="BA10" s="1"/>
      </tp>
      <tp t="e">
        <v>#N/A</v>
        <stp/>
        <stp>VIVT3_B_0</stp>
        <stp>6M</stp>
        <tr r="AD3" s="1"/>
      </tp>
      <tp t="e">
        <v>#N/A</v>
        <stp/>
        <stp>VIVT3_B_0</stp>
        <stp>67</stp>
        <tr r="BA3" s="1"/>
      </tp>
      <tp t="e">
        <v>#N/A</v>
        <stp/>
        <stp>VIVT3_B_0</stp>
        <stp>3M</stp>
        <tr r="AC3" s="1"/>
      </tp>
      <tp t="e">
        <v>#N/A</v>
        <stp/>
        <stp>CIEL3_B_0</stp>
        <stp>6M</stp>
        <tr r="AD8" s="1"/>
      </tp>
      <tp t="e">
        <v>#N/A</v>
        <stp/>
        <stp>CIEL3_B_0</stp>
        <stp>67</stp>
        <tr r="BA8" s="1"/>
      </tp>
      <tp t="e">
        <v>#N/A</v>
        <stp/>
        <stp>CIEL3_B_0</stp>
        <stp>3M</stp>
        <tr r="AC8" s="1"/>
      </tp>
      <tp t="e">
        <v>#N/A</v>
        <stp/>
        <stp>IBOV_B_0</stp>
        <stp>VARPTS</stp>
        <tr r="K23" s="1"/>
      </tp>
      <tp t="e">
        <v>#N/A</v>
        <stp/>
        <stp>WDOFUT_F_0</stp>
        <stp>3M</stp>
        <tr r="AC2" s="2"/>
      </tp>
      <tp t="e">
        <v>#N/A</v>
        <stp/>
        <stp>WDOFUT_F_0</stp>
        <stp>6M</stp>
        <tr r="AD2" s="2"/>
      </tp>
      <tp t="e">
        <v>#N/A</v>
        <stp/>
        <stp>WDOFUT_F_0</stp>
        <stp>67</stp>
        <tr r="BA2" s="2"/>
      </tp>
      <tp t="e">
        <v>#N/A</v>
        <stp/>
        <stp>IBOV_B_0</stp>
        <stp>DOBRAR</stp>
        <tr r="AV23" s="1"/>
      </tp>
      <tp t="e">
        <v>#N/A</v>
        <stp/>
        <stp>WINFUT_F_0</stp>
        <stp>3M</stp>
        <tr r="AC3" s="2"/>
      </tp>
      <tp t="e">
        <v>#N/A</v>
        <stp/>
        <stp>WINFUT_F_0</stp>
        <stp>6M</stp>
        <tr r="AD3" s="2"/>
      </tp>
      <tp t="e">
        <v>#N/A</v>
        <stp/>
        <stp>WINFUT_F_0</stp>
        <stp>67</stp>
        <tr r="BA3" s="2"/>
      </tp>
      <tp t="e">
        <v>#N/A</v>
        <stp/>
        <stp>CMIG4_B_0</stp>
        <stp>3M</stp>
        <tr r="AC20" s="1"/>
      </tp>
      <tp t="e">
        <v>#N/A</v>
        <stp/>
        <stp>CMIG4_B_0</stp>
        <stp>6M</stp>
        <tr r="AD20" s="1"/>
      </tp>
      <tp t="e">
        <v>#N/A</v>
        <stp/>
        <stp>CMIG4_B_0</stp>
        <stp>67</stp>
        <tr r="BA20" s="1"/>
      </tp>
      <tp t="e">
        <v>#N/A</v>
        <stp/>
        <stp>EMBR3_B_0</stp>
        <stp>3M</stp>
        <tr r="AC2" s="1"/>
      </tp>
      <tp t="e">
        <v>#N/A</v>
        <stp/>
        <stp>EMBR3_B_0</stp>
        <stp>6M</stp>
        <tr r="AD2" s="1"/>
      </tp>
      <tp t="e">
        <v>#N/A</v>
        <stp/>
        <stp>EMBR3_B_0</stp>
        <stp>67</stp>
        <tr r="BA2" s="1"/>
      </tp>
      <tp t="e">
        <v>#N/A</v>
        <stp/>
        <stp>IBOV_B_0</stp>
        <stp>101_psicotrade</stp>
        <tr r="AZ23" s="1"/>
      </tp>
      <tp t="e">
        <v>#N/A</v>
        <stp/>
        <stp>GOAU4_B_0</stp>
        <stp>3M</stp>
        <tr r="AC27" s="1"/>
      </tp>
      <tp t="e">
        <v>#N/A</v>
        <stp/>
        <stp>GOAU4_B_0</stp>
        <stp>6M</stp>
        <tr r="AD27" s="1"/>
      </tp>
      <tp t="e">
        <v>#N/A</v>
        <stp/>
        <stp>GOAU4_B_0</stp>
        <stp>67</stp>
        <tr r="BA2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3"/>
  <sheetViews>
    <sheetView tabSelected="1" zoomScale="55" zoomScaleNormal="55" workbookViewId="0">
      <selection sqref="A1:XFD1"/>
    </sheetView>
  </sheetViews>
  <sheetFormatPr defaultRowHeight="14.5" x14ac:dyDescent="0.35"/>
  <cols>
    <col min="3" max="3" width="7.90625" bestFit="1" customWidth="1"/>
    <col min="13" max="13" width="19.6328125" bestFit="1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101</v>
      </c>
      <c r="BA1" t="s">
        <v>51</v>
      </c>
    </row>
    <row r="2" spans="1:53" x14ac:dyDescent="0.35">
      <c r="A2" t="s">
        <v>58</v>
      </c>
      <c r="B2" t="e">
        <f>RTD("rtdtrading.rtdserver",, "EMBR3_B_0", "DAT")</f>
        <v>#N/A</v>
      </c>
      <c r="C2" t="e">
        <f>RTD("rtdtrading.rtdserver",, "EMBR3_B_0", "HOR")</f>
        <v>#N/A</v>
      </c>
      <c r="D2" t="e">
        <f>RTD("rtdtrading.rtdserver",, "EMBR3_B_0", "ULT")</f>
        <v>#N/A</v>
      </c>
      <c r="E2" t="e">
        <f>RTD("rtdtrading.rtdserver",, "EMBR3_B_0", "ABE")</f>
        <v>#N/A</v>
      </c>
      <c r="F2" t="e">
        <f>RTD("rtdtrading.rtdserver",, "EMBR3_B_0", "MAX")</f>
        <v>#N/A</v>
      </c>
      <c r="G2" t="e">
        <f>RTD("rtdtrading.rtdserver",, "EMBR3_B_0", "MIN")</f>
        <v>#N/A</v>
      </c>
      <c r="H2" t="e">
        <f>RTD("rtdtrading.rtdserver",, "EMBR3_B_0", "FEC")</f>
        <v>#N/A</v>
      </c>
      <c r="I2" t="e">
        <f>RTD("rtdtrading.rtdserver",, "EMBR3_B_0", "PEX")</f>
        <v>#N/A</v>
      </c>
      <c r="J2" t="e">
        <f>RTD("rtdtrading.rtdserver",, "EMBR3_B_0", "VAR")</f>
        <v>#N/A</v>
      </c>
      <c r="K2" t="e">
        <f>RTD("rtdtrading.rtdserver",, "EMBR3_B_0", "VARPTS")</f>
        <v>#N/A</v>
      </c>
      <c r="L2" t="e">
        <f>RTD("rtdtrading.rtdserver",, "EMBR3_B_0", "MED")</f>
        <v>#N/A</v>
      </c>
      <c r="M2" t="s">
        <v>59</v>
      </c>
      <c r="N2" t="e">
        <f>RTD("rtdtrading.rtdserver",, "EMBR3_B_0", "NEG")</f>
        <v>#N/A</v>
      </c>
      <c r="O2" t="e">
        <f>RTD("rtdtrading.rtdserver",, "EMBR3_B_0", "QUL")</f>
        <v>#N/A</v>
      </c>
      <c r="P2" t="e">
        <f>RTD("rtdtrading.rtdserver",, "EMBR3_B_0", "QTT")</f>
        <v>#N/A</v>
      </c>
      <c r="Q2" t="e">
        <f>RTD("rtdtrading.rtdserver",, "EMBR3_B_0", "VOL")</f>
        <v>#N/A</v>
      </c>
      <c r="R2" t="e">
        <f>RTD("rtdtrading.rtdserver",, "EMBR3_B_0", "OCP")</f>
        <v>#N/A</v>
      </c>
      <c r="S2" t="e">
        <f>RTD("rtdtrading.rtdserver",, "EMBR3_B_0", "OVD")</f>
        <v>#N/A</v>
      </c>
      <c r="T2" t="e">
        <f>RTD("rtdtrading.rtdserver",, "EMBR3_B_0", "VOC")</f>
        <v>#N/A</v>
      </c>
      <c r="U2" t="e">
        <f>RTD("rtdtrading.rtdserver",, "EMBR3_B_0", "VOV")</f>
        <v>#N/A</v>
      </c>
      <c r="V2" t="e">
        <f>RTD("rtdtrading.rtdserver",, "EMBR3_B_0", "AJU")</f>
        <v>#N/A</v>
      </c>
      <c r="W2" t="e">
        <f>RTD("rtdtrading.rtdserver",, "EMBR3_B_0", "AJA")</f>
        <v>#N/A</v>
      </c>
      <c r="X2" t="e">
        <f>RTD("rtdtrading.rtdserver",, "EMBR3_B_0", "PRT")</f>
        <v>#N/A</v>
      </c>
      <c r="Y2" t="e">
        <f>RTD("rtdtrading.rtdserver",, "EMBR3_B_0", "QTE")</f>
        <v>#N/A</v>
      </c>
      <c r="Z2" t="e">
        <f>RTD("rtdtrading.rtdserver",, "EMBR3_B_0", "VPJ")</f>
        <v>#N/A</v>
      </c>
      <c r="AA2" t="e">
        <f>RTD("rtdtrading.rtdserver",, "EMBR3_B_0", "SEM")</f>
        <v>#N/A</v>
      </c>
      <c r="AB2" t="e">
        <f>RTD("rtdtrading.rtdserver",, "EMBR3_B_0", "MES")</f>
        <v>#N/A</v>
      </c>
      <c r="AC2" t="e">
        <f>RTD("rtdtrading.rtdserver",, "EMBR3_B_0", "3M")</f>
        <v>#N/A</v>
      </c>
      <c r="AD2" t="e">
        <f>RTD("rtdtrading.rtdserver",, "EMBR3_B_0", "6M")</f>
        <v>#N/A</v>
      </c>
      <c r="AE2" t="e">
        <f>RTD("rtdtrading.rtdserver",, "EMBR3_B_0", "12M")</f>
        <v>#N/A</v>
      </c>
      <c r="AF2" t="e">
        <f>RTD("rtdtrading.rtdserver",, "EMBR3_B_0", "ANO")</f>
        <v>#N/A</v>
      </c>
      <c r="AG2" t="e">
        <f>RTD("rtdtrading.rtdserver",, "EMBR3_B_0", "TRIM")</f>
        <v>#N/A</v>
      </c>
      <c r="AH2" t="e">
        <f>RTD("rtdtrading.rtdserver",, "EMBR3_B_0", "SEMES")</f>
        <v>#N/A</v>
      </c>
      <c r="AI2" t="e">
        <f>RTD("rtdtrading.rtdserver",, "EMBR3_B_0", "VEN")</f>
        <v>#N/A</v>
      </c>
      <c r="AJ2" t="e">
        <f>RTD("rtdtrading.rtdserver",, "EMBR3_B_0", "VAL")</f>
        <v>#N/A</v>
      </c>
      <c r="AK2" t="e">
        <f>RTD("rtdtrading.rtdserver",, "EMBR3_B_0", "CAB")</f>
        <v>#N/A</v>
      </c>
      <c r="AL2" t="e">
        <f>RTD("rtdtrading.rtdserver",, "EMBR3_B_0", "EST")</f>
        <v>#N/A</v>
      </c>
      <c r="AM2" t="e">
        <f>RTD("rtdtrading.rtdserver",, "EMBR3_B_0", "BLACK")</f>
        <v>#N/A</v>
      </c>
      <c r="AN2" t="e">
        <f>RTD("rtdtrading.rtdserver",, "EMBR3_B_0", "IMPVT")</f>
        <v>#N/A</v>
      </c>
      <c r="AO2" t="e">
        <f>RTD("rtdtrading.rtdserver",, "EMBR3_B_0", "DELTA")</f>
        <v>#N/A</v>
      </c>
      <c r="AP2" t="e">
        <f>RTD("rtdtrading.rtdserver",, "EMBR3_B_0", "GAMA")</f>
        <v>#N/A</v>
      </c>
      <c r="AQ2" t="e">
        <f>RTD("rtdtrading.rtdserver",, "EMBR3_B_0", "THETA")</f>
        <v>#N/A</v>
      </c>
      <c r="AR2" t="e">
        <f>RTD("rtdtrading.rtdserver",, "EMBR3_B_0", "RHO")</f>
        <v>#N/A</v>
      </c>
      <c r="AS2" t="e">
        <f>RTD("rtdtrading.rtdserver",, "EMBR3_B_0", "VEGA")</f>
        <v>#N/A</v>
      </c>
      <c r="AT2" t="e">
        <f>RTD("rtdtrading.rtdserver",, "EMBR3_B_0", "VIA")</f>
        <v>#N/A</v>
      </c>
      <c r="AU2" t="e">
        <f>RTD("rtdtrading.rtdserver",, "EMBR3_B_0", "VIB")</f>
        <v>#N/A</v>
      </c>
      <c r="AV2" t="e">
        <f>RTD("rtdtrading.rtdserver",, "EMBR3_B_0", "DOBRAR")</f>
        <v>#N/A</v>
      </c>
      <c r="AW2" t="e">
        <f>RTD("rtdtrading.rtdserver",, "EMBR3_B_0", "VIVH")</f>
        <v>#N/A</v>
      </c>
      <c r="AX2" t="e">
        <f>RTD("rtdtrading.rtdserver",, "EMBR3_B_0", "VINT")</f>
        <v>#N/A</v>
      </c>
      <c r="AY2" t="e">
        <f>RTD("rtdtrading.rtdserver",, "EMBR3_B_0", "VEXT")</f>
        <v>#N/A</v>
      </c>
      <c r="AZ2" t="e">
        <f>RTD("rtdtrading.rtdserver",, "EMBR3_B_0", "101_psicotrade")</f>
        <v>#N/A</v>
      </c>
      <c r="BA2" t="e">
        <f>RTD("rtdtrading.rtdserver",, "EMBR3_B_0", "67")</f>
        <v>#N/A</v>
      </c>
    </row>
    <row r="3" spans="1:53" x14ac:dyDescent="0.35">
      <c r="A3" t="s">
        <v>60</v>
      </c>
      <c r="B3" t="e">
        <f>RTD("rtdtrading.rtdserver",, "VIVT3_B_0", "DAT")</f>
        <v>#N/A</v>
      </c>
      <c r="C3" t="e">
        <f>RTD("rtdtrading.rtdserver",, "VIVT3_B_0", "HOR")</f>
        <v>#N/A</v>
      </c>
      <c r="D3" t="e">
        <f>RTD("rtdtrading.rtdserver",, "VIVT3_B_0", "ULT")</f>
        <v>#N/A</v>
      </c>
      <c r="E3" t="e">
        <f>RTD("rtdtrading.rtdserver",, "VIVT3_B_0", "ABE")</f>
        <v>#N/A</v>
      </c>
      <c r="F3" t="e">
        <f>RTD("rtdtrading.rtdserver",, "VIVT3_B_0", "MAX")</f>
        <v>#N/A</v>
      </c>
      <c r="G3" t="e">
        <f>RTD("rtdtrading.rtdserver",, "VIVT3_B_0", "MIN")</f>
        <v>#N/A</v>
      </c>
      <c r="H3" t="e">
        <f>RTD("rtdtrading.rtdserver",, "VIVT3_B_0", "FEC")</f>
        <v>#N/A</v>
      </c>
      <c r="I3" t="e">
        <f>RTD("rtdtrading.rtdserver",, "VIVT3_B_0", "PEX")</f>
        <v>#N/A</v>
      </c>
      <c r="J3" t="e">
        <f>RTD("rtdtrading.rtdserver",, "VIVT3_B_0", "VAR")</f>
        <v>#N/A</v>
      </c>
      <c r="K3" t="e">
        <f>RTD("rtdtrading.rtdserver",, "VIVT3_B_0", "VARPTS")</f>
        <v>#N/A</v>
      </c>
      <c r="L3" t="e">
        <f>RTD("rtdtrading.rtdserver",, "VIVT3_B_0", "MED")</f>
        <v>#N/A</v>
      </c>
      <c r="M3" t="s">
        <v>104</v>
      </c>
      <c r="N3" t="e">
        <f>RTD("rtdtrading.rtdserver",, "VIVT3_B_0", "NEG")</f>
        <v>#N/A</v>
      </c>
      <c r="O3" t="e">
        <f>RTD("rtdtrading.rtdserver",, "VIVT3_B_0", "QUL")</f>
        <v>#N/A</v>
      </c>
      <c r="P3" t="e">
        <f>RTD("rtdtrading.rtdserver",, "VIVT3_B_0", "QTT")</f>
        <v>#N/A</v>
      </c>
      <c r="Q3" t="e">
        <f>RTD("rtdtrading.rtdserver",, "VIVT3_B_0", "VOL")</f>
        <v>#N/A</v>
      </c>
      <c r="R3" t="e">
        <f>RTD("rtdtrading.rtdserver",, "VIVT3_B_0", "OCP")</f>
        <v>#N/A</v>
      </c>
      <c r="S3" t="e">
        <f>RTD("rtdtrading.rtdserver",, "VIVT3_B_0", "OVD")</f>
        <v>#N/A</v>
      </c>
      <c r="T3" t="e">
        <f>RTD("rtdtrading.rtdserver",, "VIVT3_B_0", "VOC")</f>
        <v>#N/A</v>
      </c>
      <c r="U3" t="e">
        <f>RTD("rtdtrading.rtdserver",, "VIVT3_B_0", "VOV")</f>
        <v>#N/A</v>
      </c>
      <c r="V3" t="e">
        <f>RTD("rtdtrading.rtdserver",, "VIVT3_B_0", "AJU")</f>
        <v>#N/A</v>
      </c>
      <c r="W3" t="e">
        <f>RTD("rtdtrading.rtdserver",, "VIVT3_B_0", "AJA")</f>
        <v>#N/A</v>
      </c>
      <c r="X3" t="e">
        <f>RTD("rtdtrading.rtdserver",, "VIVT3_B_0", "PRT")</f>
        <v>#N/A</v>
      </c>
      <c r="Y3" t="e">
        <f>RTD("rtdtrading.rtdserver",, "VIVT3_B_0", "QTE")</f>
        <v>#N/A</v>
      </c>
      <c r="Z3" t="e">
        <f>RTD("rtdtrading.rtdserver",, "VIVT3_B_0", "VPJ")</f>
        <v>#N/A</v>
      </c>
      <c r="AA3" t="e">
        <f>RTD("rtdtrading.rtdserver",, "VIVT3_B_0", "SEM")</f>
        <v>#N/A</v>
      </c>
      <c r="AB3" t="e">
        <f>RTD("rtdtrading.rtdserver",, "VIVT3_B_0", "MES")</f>
        <v>#N/A</v>
      </c>
      <c r="AC3" t="e">
        <f>RTD("rtdtrading.rtdserver",, "VIVT3_B_0", "3M")</f>
        <v>#N/A</v>
      </c>
      <c r="AD3" t="e">
        <f>RTD("rtdtrading.rtdserver",, "VIVT3_B_0", "6M")</f>
        <v>#N/A</v>
      </c>
      <c r="AE3" t="e">
        <f>RTD("rtdtrading.rtdserver",, "VIVT3_B_0", "12M")</f>
        <v>#N/A</v>
      </c>
      <c r="AF3" t="e">
        <f>RTD("rtdtrading.rtdserver",, "VIVT3_B_0", "ANO")</f>
        <v>#N/A</v>
      </c>
      <c r="AG3" t="e">
        <f>RTD("rtdtrading.rtdserver",, "VIVT3_B_0", "TRIM")</f>
        <v>#N/A</v>
      </c>
      <c r="AH3" t="e">
        <f>RTD("rtdtrading.rtdserver",, "VIVT3_B_0", "SEMES")</f>
        <v>#N/A</v>
      </c>
      <c r="AI3" t="e">
        <f>RTD("rtdtrading.rtdserver",, "VIVT3_B_0", "VEN")</f>
        <v>#N/A</v>
      </c>
      <c r="AJ3" t="e">
        <f>RTD("rtdtrading.rtdserver",, "VIVT3_B_0", "VAL")</f>
        <v>#N/A</v>
      </c>
      <c r="AK3" t="e">
        <f>RTD("rtdtrading.rtdserver",, "VIVT3_B_0", "CAB")</f>
        <v>#N/A</v>
      </c>
      <c r="AL3" t="e">
        <f>RTD("rtdtrading.rtdserver",, "VIVT3_B_0", "EST")</f>
        <v>#N/A</v>
      </c>
      <c r="AM3" t="e">
        <f>RTD("rtdtrading.rtdserver",, "VIVT3_B_0", "BLACK")</f>
        <v>#N/A</v>
      </c>
      <c r="AN3" t="e">
        <f>RTD("rtdtrading.rtdserver",, "VIVT3_B_0", "IMPVT")</f>
        <v>#N/A</v>
      </c>
      <c r="AO3" t="e">
        <f>RTD("rtdtrading.rtdserver",, "VIVT3_B_0", "DELTA")</f>
        <v>#N/A</v>
      </c>
      <c r="AP3" t="e">
        <f>RTD("rtdtrading.rtdserver",, "VIVT3_B_0", "GAMA")</f>
        <v>#N/A</v>
      </c>
      <c r="AQ3" t="e">
        <f>RTD("rtdtrading.rtdserver",, "VIVT3_B_0", "THETA")</f>
        <v>#N/A</v>
      </c>
      <c r="AR3" t="e">
        <f>RTD("rtdtrading.rtdserver",, "VIVT3_B_0", "RHO")</f>
        <v>#N/A</v>
      </c>
      <c r="AS3" t="e">
        <f>RTD("rtdtrading.rtdserver",, "VIVT3_B_0", "VEGA")</f>
        <v>#N/A</v>
      </c>
      <c r="AT3" t="e">
        <f>RTD("rtdtrading.rtdserver",, "VIVT3_B_0", "VIA")</f>
        <v>#N/A</v>
      </c>
      <c r="AU3" t="e">
        <f>RTD("rtdtrading.rtdserver",, "VIVT3_B_0", "VIB")</f>
        <v>#N/A</v>
      </c>
      <c r="AV3" t="e">
        <f>RTD("rtdtrading.rtdserver",, "VIVT3_B_0", "DOBRAR")</f>
        <v>#N/A</v>
      </c>
      <c r="AW3" t="e">
        <f>RTD("rtdtrading.rtdserver",, "VIVT3_B_0", "VIVH")</f>
        <v>#N/A</v>
      </c>
      <c r="AX3" t="e">
        <f>RTD("rtdtrading.rtdserver",, "VIVT3_B_0", "VINT")</f>
        <v>#N/A</v>
      </c>
      <c r="AY3" t="e">
        <f>RTD("rtdtrading.rtdserver",, "VIVT3_B_0", "VEXT")</f>
        <v>#N/A</v>
      </c>
      <c r="AZ3" t="e">
        <f>RTD("rtdtrading.rtdserver",, "VIVT3_B_0", "101_psicotrade")</f>
        <v>#N/A</v>
      </c>
      <c r="BA3" t="e">
        <f>RTD("rtdtrading.rtdserver",, "VIVT3_B_0", "67")</f>
        <v>#N/A</v>
      </c>
    </row>
    <row r="4" spans="1:53" x14ac:dyDescent="0.35">
      <c r="A4" t="s">
        <v>61</v>
      </c>
      <c r="B4" t="e">
        <f>RTD("rtdtrading.rtdserver",, "ITSA4_B_0", "DAT")</f>
        <v>#N/A</v>
      </c>
      <c r="C4" t="e">
        <f>RTD("rtdtrading.rtdserver",, "ITSA4_B_0", "HOR")</f>
        <v>#N/A</v>
      </c>
      <c r="D4" t="e">
        <f>RTD("rtdtrading.rtdserver",, "ITSA4_B_0", "ULT")</f>
        <v>#N/A</v>
      </c>
      <c r="E4" t="e">
        <f>RTD("rtdtrading.rtdserver",, "ITSA4_B_0", "ABE")</f>
        <v>#N/A</v>
      </c>
      <c r="F4" t="e">
        <f>RTD("rtdtrading.rtdserver",, "ITSA4_B_0", "MAX")</f>
        <v>#N/A</v>
      </c>
      <c r="G4" t="e">
        <f>RTD("rtdtrading.rtdserver",, "ITSA4_B_0", "MIN")</f>
        <v>#N/A</v>
      </c>
      <c r="H4" t="e">
        <f>RTD("rtdtrading.rtdserver",, "ITSA4_B_0", "FEC")</f>
        <v>#N/A</v>
      </c>
      <c r="I4" t="e">
        <f>RTD("rtdtrading.rtdserver",, "ITSA4_B_0", "PEX")</f>
        <v>#N/A</v>
      </c>
      <c r="J4" t="e">
        <f>RTD("rtdtrading.rtdserver",, "ITSA4_B_0", "VAR")</f>
        <v>#N/A</v>
      </c>
      <c r="K4" t="e">
        <f>RTD("rtdtrading.rtdserver",, "ITSA4_B_0", "VARPTS")</f>
        <v>#N/A</v>
      </c>
      <c r="L4" t="e">
        <f>RTD("rtdtrading.rtdserver",, "ITSA4_B_0", "MED")</f>
        <v>#N/A</v>
      </c>
      <c r="M4" t="s">
        <v>102</v>
      </c>
      <c r="N4" t="e">
        <f>RTD("rtdtrading.rtdserver",, "ITSA4_B_0", "NEG")</f>
        <v>#N/A</v>
      </c>
      <c r="O4" t="e">
        <f>RTD("rtdtrading.rtdserver",, "ITSA4_B_0", "QUL")</f>
        <v>#N/A</v>
      </c>
      <c r="P4" t="e">
        <f>RTD("rtdtrading.rtdserver",, "ITSA4_B_0", "QTT")</f>
        <v>#N/A</v>
      </c>
      <c r="Q4" t="e">
        <f>RTD("rtdtrading.rtdserver",, "ITSA4_B_0", "VOL")</f>
        <v>#N/A</v>
      </c>
      <c r="R4" t="e">
        <f>RTD("rtdtrading.rtdserver",, "ITSA4_B_0", "OCP")</f>
        <v>#N/A</v>
      </c>
      <c r="S4" t="e">
        <f>RTD("rtdtrading.rtdserver",, "ITSA4_B_0", "OVD")</f>
        <v>#N/A</v>
      </c>
      <c r="T4" t="e">
        <f>RTD("rtdtrading.rtdserver",, "ITSA4_B_0", "VOC")</f>
        <v>#N/A</v>
      </c>
      <c r="U4" t="e">
        <f>RTD("rtdtrading.rtdserver",, "ITSA4_B_0", "VOV")</f>
        <v>#N/A</v>
      </c>
      <c r="V4" t="e">
        <f>RTD("rtdtrading.rtdserver",, "ITSA4_B_0", "AJU")</f>
        <v>#N/A</v>
      </c>
      <c r="W4" t="e">
        <f>RTD("rtdtrading.rtdserver",, "ITSA4_B_0", "AJA")</f>
        <v>#N/A</v>
      </c>
      <c r="X4" t="e">
        <f>RTD("rtdtrading.rtdserver",, "ITSA4_B_0", "PRT")</f>
        <v>#N/A</v>
      </c>
      <c r="Y4" t="e">
        <f>RTD("rtdtrading.rtdserver",, "ITSA4_B_0", "QTE")</f>
        <v>#N/A</v>
      </c>
      <c r="Z4" t="e">
        <f>RTD("rtdtrading.rtdserver",, "ITSA4_B_0", "VPJ")</f>
        <v>#N/A</v>
      </c>
      <c r="AA4" t="e">
        <f>RTD("rtdtrading.rtdserver",, "ITSA4_B_0", "SEM")</f>
        <v>#N/A</v>
      </c>
      <c r="AB4" t="e">
        <f>RTD("rtdtrading.rtdserver",, "ITSA4_B_0", "MES")</f>
        <v>#N/A</v>
      </c>
      <c r="AC4" t="e">
        <f>RTD("rtdtrading.rtdserver",, "ITSA4_B_0", "3M")</f>
        <v>#N/A</v>
      </c>
      <c r="AD4" t="e">
        <f>RTD("rtdtrading.rtdserver",, "ITSA4_B_0", "6M")</f>
        <v>#N/A</v>
      </c>
      <c r="AE4" t="e">
        <f>RTD("rtdtrading.rtdserver",, "ITSA4_B_0", "12M")</f>
        <v>#N/A</v>
      </c>
      <c r="AF4" t="e">
        <f>RTD("rtdtrading.rtdserver",, "ITSA4_B_0", "ANO")</f>
        <v>#N/A</v>
      </c>
      <c r="AG4" t="e">
        <f>RTD("rtdtrading.rtdserver",, "ITSA4_B_0", "TRIM")</f>
        <v>#N/A</v>
      </c>
      <c r="AH4" t="e">
        <f>RTD("rtdtrading.rtdserver",, "ITSA4_B_0", "SEMES")</f>
        <v>#N/A</v>
      </c>
      <c r="AI4" t="e">
        <f>RTD("rtdtrading.rtdserver",, "ITSA4_B_0", "VEN")</f>
        <v>#N/A</v>
      </c>
      <c r="AJ4" t="e">
        <f>RTD("rtdtrading.rtdserver",, "ITSA4_B_0", "VAL")</f>
        <v>#N/A</v>
      </c>
      <c r="AK4" t="e">
        <f>RTD("rtdtrading.rtdserver",, "ITSA4_B_0", "CAB")</f>
        <v>#N/A</v>
      </c>
      <c r="AL4" t="e">
        <f>RTD("rtdtrading.rtdserver",, "ITSA4_B_0", "EST")</f>
        <v>#N/A</v>
      </c>
      <c r="AM4" t="e">
        <f>RTD("rtdtrading.rtdserver",, "ITSA4_B_0", "BLACK")</f>
        <v>#N/A</v>
      </c>
      <c r="AN4" t="e">
        <f>RTD("rtdtrading.rtdserver",, "ITSA4_B_0", "IMPVT")</f>
        <v>#N/A</v>
      </c>
      <c r="AO4" t="e">
        <f>RTD("rtdtrading.rtdserver",, "ITSA4_B_0", "DELTA")</f>
        <v>#N/A</v>
      </c>
      <c r="AP4" t="e">
        <f>RTD("rtdtrading.rtdserver",, "ITSA4_B_0", "GAMA")</f>
        <v>#N/A</v>
      </c>
      <c r="AQ4" t="e">
        <f>RTD("rtdtrading.rtdserver",, "ITSA4_B_0", "THETA")</f>
        <v>#N/A</v>
      </c>
      <c r="AR4" t="e">
        <f>RTD("rtdtrading.rtdserver",, "ITSA4_B_0", "RHO")</f>
        <v>#N/A</v>
      </c>
      <c r="AS4" t="e">
        <f>RTD("rtdtrading.rtdserver",, "ITSA4_B_0", "VEGA")</f>
        <v>#N/A</v>
      </c>
      <c r="AT4" t="e">
        <f>RTD("rtdtrading.rtdserver",, "ITSA4_B_0", "VIA")</f>
        <v>#N/A</v>
      </c>
      <c r="AU4" t="e">
        <f>RTD("rtdtrading.rtdserver",, "ITSA4_B_0", "VIB")</f>
        <v>#N/A</v>
      </c>
      <c r="AV4" t="e">
        <f>RTD("rtdtrading.rtdserver",, "ITSA4_B_0", "DOBRAR")</f>
        <v>#N/A</v>
      </c>
      <c r="AW4" t="e">
        <f>RTD("rtdtrading.rtdserver",, "ITSA4_B_0", "VIVH")</f>
        <v>#N/A</v>
      </c>
      <c r="AX4" t="e">
        <f>RTD("rtdtrading.rtdserver",, "ITSA4_B_0", "VINT")</f>
        <v>#N/A</v>
      </c>
      <c r="AY4" t="e">
        <f>RTD("rtdtrading.rtdserver",, "ITSA4_B_0", "VEXT")</f>
        <v>#N/A</v>
      </c>
      <c r="AZ4" t="e">
        <f>RTD("rtdtrading.rtdserver",, "ITSA4_B_0", "101_psicotrade")</f>
        <v>#N/A</v>
      </c>
      <c r="BA4" t="e">
        <f>RTD("rtdtrading.rtdserver",, "ITSA4_B_0", "67")</f>
        <v>#N/A</v>
      </c>
    </row>
    <row r="5" spans="1:53" x14ac:dyDescent="0.35">
      <c r="A5" t="s">
        <v>62</v>
      </c>
      <c r="B5" t="e">
        <f>RTD("rtdtrading.rtdserver",, "CYRE3_B_0", "DAT")</f>
        <v>#N/A</v>
      </c>
      <c r="C5" t="e">
        <f>RTD("rtdtrading.rtdserver",, "CYRE3_B_0", "HOR")</f>
        <v>#N/A</v>
      </c>
      <c r="D5" t="e">
        <f>RTD("rtdtrading.rtdserver",, "CYRE3_B_0", "ULT")</f>
        <v>#N/A</v>
      </c>
      <c r="E5" t="e">
        <f>RTD("rtdtrading.rtdserver",, "CYRE3_B_0", "ABE")</f>
        <v>#N/A</v>
      </c>
      <c r="F5" t="e">
        <f>RTD("rtdtrading.rtdserver",, "CYRE3_B_0", "MAX")</f>
        <v>#N/A</v>
      </c>
      <c r="G5" t="e">
        <f>RTD("rtdtrading.rtdserver",, "CYRE3_B_0", "MIN")</f>
        <v>#N/A</v>
      </c>
      <c r="H5" t="e">
        <f>RTD("rtdtrading.rtdserver",, "CYRE3_B_0", "FEC")</f>
        <v>#N/A</v>
      </c>
      <c r="I5" t="e">
        <f>RTD("rtdtrading.rtdserver",, "CYRE3_B_0", "PEX")</f>
        <v>#N/A</v>
      </c>
      <c r="J5" t="e">
        <f>RTD("rtdtrading.rtdserver",, "CYRE3_B_0", "VAR")</f>
        <v>#N/A</v>
      </c>
      <c r="K5" t="e">
        <f>RTD("rtdtrading.rtdserver",, "CYRE3_B_0", "VARPTS")</f>
        <v>#N/A</v>
      </c>
      <c r="L5" t="e">
        <f>RTD("rtdtrading.rtdserver",, "CYRE3_B_0", "MED")</f>
        <v>#N/A</v>
      </c>
      <c r="M5" t="s">
        <v>63</v>
      </c>
      <c r="N5" t="e">
        <f>RTD("rtdtrading.rtdserver",, "CYRE3_B_0", "NEG")</f>
        <v>#N/A</v>
      </c>
      <c r="O5" t="e">
        <f>RTD("rtdtrading.rtdserver",, "CYRE3_B_0", "QUL")</f>
        <v>#N/A</v>
      </c>
      <c r="P5" t="e">
        <f>RTD("rtdtrading.rtdserver",, "CYRE3_B_0", "QTT")</f>
        <v>#N/A</v>
      </c>
      <c r="Q5" t="e">
        <f>RTD("rtdtrading.rtdserver",, "CYRE3_B_0", "VOL")</f>
        <v>#N/A</v>
      </c>
      <c r="R5" t="e">
        <f>RTD("rtdtrading.rtdserver",, "CYRE3_B_0", "OCP")</f>
        <v>#N/A</v>
      </c>
      <c r="S5" t="e">
        <f>RTD("rtdtrading.rtdserver",, "CYRE3_B_0", "OVD")</f>
        <v>#N/A</v>
      </c>
      <c r="T5" t="e">
        <f>RTD("rtdtrading.rtdserver",, "CYRE3_B_0", "VOC")</f>
        <v>#N/A</v>
      </c>
      <c r="U5" t="e">
        <f>RTD("rtdtrading.rtdserver",, "CYRE3_B_0", "VOV")</f>
        <v>#N/A</v>
      </c>
      <c r="V5" t="e">
        <f>RTD("rtdtrading.rtdserver",, "CYRE3_B_0", "AJU")</f>
        <v>#N/A</v>
      </c>
      <c r="W5" t="e">
        <f>RTD("rtdtrading.rtdserver",, "CYRE3_B_0", "AJA")</f>
        <v>#N/A</v>
      </c>
      <c r="X5" t="e">
        <f>RTD("rtdtrading.rtdserver",, "CYRE3_B_0", "PRT")</f>
        <v>#N/A</v>
      </c>
      <c r="Y5" t="e">
        <f>RTD("rtdtrading.rtdserver",, "CYRE3_B_0", "QTE")</f>
        <v>#N/A</v>
      </c>
      <c r="Z5" t="e">
        <f>RTD("rtdtrading.rtdserver",, "CYRE3_B_0", "VPJ")</f>
        <v>#N/A</v>
      </c>
      <c r="AA5" t="e">
        <f>RTD("rtdtrading.rtdserver",, "CYRE3_B_0", "SEM")</f>
        <v>#N/A</v>
      </c>
      <c r="AB5" t="e">
        <f>RTD("rtdtrading.rtdserver",, "CYRE3_B_0", "MES")</f>
        <v>#N/A</v>
      </c>
      <c r="AC5" t="e">
        <f>RTD("rtdtrading.rtdserver",, "CYRE3_B_0", "3M")</f>
        <v>#N/A</v>
      </c>
      <c r="AD5" t="e">
        <f>RTD("rtdtrading.rtdserver",, "CYRE3_B_0", "6M")</f>
        <v>#N/A</v>
      </c>
      <c r="AE5" t="e">
        <f>RTD("rtdtrading.rtdserver",, "CYRE3_B_0", "12M")</f>
        <v>#N/A</v>
      </c>
      <c r="AF5" t="e">
        <f>RTD("rtdtrading.rtdserver",, "CYRE3_B_0", "ANO")</f>
        <v>#N/A</v>
      </c>
      <c r="AG5" t="e">
        <f>RTD("rtdtrading.rtdserver",, "CYRE3_B_0", "TRIM")</f>
        <v>#N/A</v>
      </c>
      <c r="AH5" t="e">
        <f>RTD("rtdtrading.rtdserver",, "CYRE3_B_0", "SEMES")</f>
        <v>#N/A</v>
      </c>
      <c r="AI5" t="e">
        <f>RTD("rtdtrading.rtdserver",, "CYRE3_B_0", "VEN")</f>
        <v>#N/A</v>
      </c>
      <c r="AJ5" t="e">
        <f>RTD("rtdtrading.rtdserver",, "CYRE3_B_0", "VAL")</f>
        <v>#N/A</v>
      </c>
      <c r="AK5" t="e">
        <f>RTD("rtdtrading.rtdserver",, "CYRE3_B_0", "CAB")</f>
        <v>#N/A</v>
      </c>
      <c r="AL5" t="e">
        <f>RTD("rtdtrading.rtdserver",, "CYRE3_B_0", "EST")</f>
        <v>#N/A</v>
      </c>
      <c r="AM5" t="e">
        <f>RTD("rtdtrading.rtdserver",, "CYRE3_B_0", "BLACK")</f>
        <v>#N/A</v>
      </c>
      <c r="AN5" t="e">
        <f>RTD("rtdtrading.rtdserver",, "CYRE3_B_0", "IMPVT")</f>
        <v>#N/A</v>
      </c>
      <c r="AO5" t="e">
        <f>RTD("rtdtrading.rtdserver",, "CYRE3_B_0", "DELTA")</f>
        <v>#N/A</v>
      </c>
      <c r="AP5" t="e">
        <f>RTD("rtdtrading.rtdserver",, "CYRE3_B_0", "GAMA")</f>
        <v>#N/A</v>
      </c>
      <c r="AQ5" t="e">
        <f>RTD("rtdtrading.rtdserver",, "CYRE3_B_0", "THETA")</f>
        <v>#N/A</v>
      </c>
      <c r="AR5" t="e">
        <f>RTD("rtdtrading.rtdserver",, "CYRE3_B_0", "RHO")</f>
        <v>#N/A</v>
      </c>
      <c r="AS5" t="e">
        <f>RTD("rtdtrading.rtdserver",, "CYRE3_B_0", "VEGA")</f>
        <v>#N/A</v>
      </c>
      <c r="AT5" t="e">
        <f>RTD("rtdtrading.rtdserver",, "CYRE3_B_0", "VIA")</f>
        <v>#N/A</v>
      </c>
      <c r="AU5" t="e">
        <f>RTD("rtdtrading.rtdserver",, "CYRE3_B_0", "VIB")</f>
        <v>#N/A</v>
      </c>
      <c r="AV5" t="e">
        <f>RTD("rtdtrading.rtdserver",, "CYRE3_B_0", "DOBRAR")</f>
        <v>#N/A</v>
      </c>
      <c r="AW5" t="e">
        <f>RTD("rtdtrading.rtdserver",, "CYRE3_B_0", "VIVH")</f>
        <v>#N/A</v>
      </c>
      <c r="AX5" t="e">
        <f>RTD("rtdtrading.rtdserver",, "CYRE3_B_0", "VINT")</f>
        <v>#N/A</v>
      </c>
      <c r="AY5" t="e">
        <f>RTD("rtdtrading.rtdserver",, "CYRE3_B_0", "VEXT")</f>
        <v>#N/A</v>
      </c>
      <c r="AZ5" t="e">
        <f>RTD("rtdtrading.rtdserver",, "CYRE3_B_0", "101_psicotrade")</f>
        <v>#N/A</v>
      </c>
      <c r="BA5" t="e">
        <f>RTD("rtdtrading.rtdserver",, "CYRE3_B_0", "67")</f>
        <v>#N/A</v>
      </c>
    </row>
    <row r="6" spans="1:53" x14ac:dyDescent="0.35">
      <c r="A6" t="s">
        <v>64</v>
      </c>
      <c r="B6" t="e">
        <f>RTD("rtdtrading.rtdserver",, "CSNA3_B_0", "DAT")</f>
        <v>#N/A</v>
      </c>
      <c r="C6" t="e">
        <f>RTD("rtdtrading.rtdserver",, "CSNA3_B_0", "HOR")</f>
        <v>#N/A</v>
      </c>
      <c r="D6" t="e">
        <f>RTD("rtdtrading.rtdserver",, "CSNA3_B_0", "ULT")</f>
        <v>#N/A</v>
      </c>
      <c r="E6" t="e">
        <f>RTD("rtdtrading.rtdserver",, "CSNA3_B_0", "ABE")</f>
        <v>#N/A</v>
      </c>
      <c r="F6" t="e">
        <f>RTD("rtdtrading.rtdserver",, "CSNA3_B_0", "MAX")</f>
        <v>#N/A</v>
      </c>
      <c r="G6" t="e">
        <f>RTD("rtdtrading.rtdserver",, "CSNA3_B_0", "MIN")</f>
        <v>#N/A</v>
      </c>
      <c r="H6" t="e">
        <f>RTD("rtdtrading.rtdserver",, "CSNA3_B_0", "FEC")</f>
        <v>#N/A</v>
      </c>
      <c r="I6" t="e">
        <f>RTD("rtdtrading.rtdserver",, "CSNA3_B_0", "PEX")</f>
        <v>#N/A</v>
      </c>
      <c r="J6" t="e">
        <f>RTD("rtdtrading.rtdserver",, "CSNA3_B_0", "VAR")</f>
        <v>#N/A</v>
      </c>
      <c r="K6" t="e">
        <f>RTD("rtdtrading.rtdserver",, "CSNA3_B_0", "VARPTS")</f>
        <v>#N/A</v>
      </c>
      <c r="L6" t="e">
        <f>RTD("rtdtrading.rtdserver",, "CSNA3_B_0", "MED")</f>
        <v>#N/A</v>
      </c>
      <c r="M6" t="s">
        <v>65</v>
      </c>
      <c r="N6" t="e">
        <f>RTD("rtdtrading.rtdserver",, "CSNA3_B_0", "NEG")</f>
        <v>#N/A</v>
      </c>
      <c r="O6" t="e">
        <f>RTD("rtdtrading.rtdserver",, "CSNA3_B_0", "QUL")</f>
        <v>#N/A</v>
      </c>
      <c r="P6" t="e">
        <f>RTD("rtdtrading.rtdserver",, "CSNA3_B_0", "QTT")</f>
        <v>#N/A</v>
      </c>
      <c r="Q6" t="e">
        <f>RTD("rtdtrading.rtdserver",, "CSNA3_B_0", "VOL")</f>
        <v>#N/A</v>
      </c>
      <c r="R6" t="e">
        <f>RTD("rtdtrading.rtdserver",, "CSNA3_B_0", "OCP")</f>
        <v>#N/A</v>
      </c>
      <c r="S6" t="e">
        <f>RTD("rtdtrading.rtdserver",, "CSNA3_B_0", "OVD")</f>
        <v>#N/A</v>
      </c>
      <c r="T6" t="e">
        <f>RTD("rtdtrading.rtdserver",, "CSNA3_B_0", "VOC")</f>
        <v>#N/A</v>
      </c>
      <c r="U6" t="e">
        <f>RTD("rtdtrading.rtdserver",, "CSNA3_B_0", "VOV")</f>
        <v>#N/A</v>
      </c>
      <c r="V6" t="e">
        <f>RTD("rtdtrading.rtdserver",, "CSNA3_B_0", "AJU")</f>
        <v>#N/A</v>
      </c>
      <c r="W6" t="e">
        <f>RTD("rtdtrading.rtdserver",, "CSNA3_B_0", "AJA")</f>
        <v>#N/A</v>
      </c>
      <c r="X6" t="e">
        <f>RTD("rtdtrading.rtdserver",, "CSNA3_B_0", "PRT")</f>
        <v>#N/A</v>
      </c>
      <c r="Y6" t="e">
        <f>RTD("rtdtrading.rtdserver",, "CSNA3_B_0", "QTE")</f>
        <v>#N/A</v>
      </c>
      <c r="Z6" t="e">
        <f>RTD("rtdtrading.rtdserver",, "CSNA3_B_0", "VPJ")</f>
        <v>#N/A</v>
      </c>
      <c r="AA6" t="e">
        <f>RTD("rtdtrading.rtdserver",, "CSNA3_B_0", "SEM")</f>
        <v>#N/A</v>
      </c>
      <c r="AB6" t="e">
        <f>RTD("rtdtrading.rtdserver",, "CSNA3_B_0", "MES")</f>
        <v>#N/A</v>
      </c>
      <c r="AC6" t="e">
        <f>RTD("rtdtrading.rtdserver",, "CSNA3_B_0", "3M")</f>
        <v>#N/A</v>
      </c>
      <c r="AD6" t="e">
        <f>RTD("rtdtrading.rtdserver",, "CSNA3_B_0", "6M")</f>
        <v>#N/A</v>
      </c>
      <c r="AE6" t="e">
        <f>RTD("rtdtrading.rtdserver",, "CSNA3_B_0", "12M")</f>
        <v>#N/A</v>
      </c>
      <c r="AF6" t="e">
        <f>RTD("rtdtrading.rtdserver",, "CSNA3_B_0", "ANO")</f>
        <v>#N/A</v>
      </c>
      <c r="AG6" t="e">
        <f>RTD("rtdtrading.rtdserver",, "CSNA3_B_0", "TRIM")</f>
        <v>#N/A</v>
      </c>
      <c r="AH6" t="e">
        <f>RTD("rtdtrading.rtdserver",, "CSNA3_B_0", "SEMES")</f>
        <v>#N/A</v>
      </c>
      <c r="AI6" t="e">
        <f>RTD("rtdtrading.rtdserver",, "CSNA3_B_0", "VEN")</f>
        <v>#N/A</v>
      </c>
      <c r="AJ6" t="e">
        <f>RTD("rtdtrading.rtdserver",, "CSNA3_B_0", "VAL")</f>
        <v>#N/A</v>
      </c>
      <c r="AK6" t="e">
        <f>RTD("rtdtrading.rtdserver",, "CSNA3_B_0", "CAB")</f>
        <v>#N/A</v>
      </c>
      <c r="AL6" t="e">
        <f>RTD("rtdtrading.rtdserver",, "CSNA3_B_0", "EST")</f>
        <v>#N/A</v>
      </c>
      <c r="AM6" t="e">
        <f>RTD("rtdtrading.rtdserver",, "CSNA3_B_0", "BLACK")</f>
        <v>#N/A</v>
      </c>
      <c r="AN6" t="e">
        <f>RTD("rtdtrading.rtdserver",, "CSNA3_B_0", "IMPVT")</f>
        <v>#N/A</v>
      </c>
      <c r="AO6" t="e">
        <f>RTD("rtdtrading.rtdserver",, "CSNA3_B_0", "DELTA")</f>
        <v>#N/A</v>
      </c>
      <c r="AP6" t="e">
        <f>RTD("rtdtrading.rtdserver",, "CSNA3_B_0", "GAMA")</f>
        <v>#N/A</v>
      </c>
      <c r="AQ6" t="e">
        <f>RTD("rtdtrading.rtdserver",, "CSNA3_B_0", "THETA")</f>
        <v>#N/A</v>
      </c>
      <c r="AR6" t="e">
        <f>RTD("rtdtrading.rtdserver",, "CSNA3_B_0", "RHO")</f>
        <v>#N/A</v>
      </c>
      <c r="AS6" t="e">
        <f>RTD("rtdtrading.rtdserver",, "CSNA3_B_0", "VEGA")</f>
        <v>#N/A</v>
      </c>
      <c r="AT6" t="e">
        <f>RTD("rtdtrading.rtdserver",, "CSNA3_B_0", "VIA")</f>
        <v>#N/A</v>
      </c>
      <c r="AU6" t="e">
        <f>RTD("rtdtrading.rtdserver",, "CSNA3_B_0", "VIB")</f>
        <v>#N/A</v>
      </c>
      <c r="AV6" t="e">
        <f>RTD("rtdtrading.rtdserver",, "CSNA3_B_0", "DOBRAR")</f>
        <v>#N/A</v>
      </c>
      <c r="AW6" t="e">
        <f>RTD("rtdtrading.rtdserver",, "CSNA3_B_0", "VIVH")</f>
        <v>#N/A</v>
      </c>
      <c r="AX6" t="e">
        <f>RTD("rtdtrading.rtdserver",, "CSNA3_B_0", "VINT")</f>
        <v>#N/A</v>
      </c>
      <c r="AY6" t="e">
        <f>RTD("rtdtrading.rtdserver",, "CSNA3_B_0", "VEXT")</f>
        <v>#N/A</v>
      </c>
      <c r="AZ6" t="e">
        <f>RTD("rtdtrading.rtdserver",, "CSNA3_B_0", "101_psicotrade")</f>
        <v>#N/A</v>
      </c>
      <c r="BA6" t="e">
        <f>RTD("rtdtrading.rtdserver",, "CSNA3_B_0", "67")</f>
        <v>#N/A</v>
      </c>
    </row>
    <row r="7" spans="1:53" x14ac:dyDescent="0.35">
      <c r="A7" t="s">
        <v>66</v>
      </c>
      <c r="B7" t="e">
        <f>RTD("rtdtrading.rtdserver",, "LREN3_B_0", "DAT")</f>
        <v>#N/A</v>
      </c>
      <c r="C7" t="e">
        <f>RTD("rtdtrading.rtdserver",, "LREN3_B_0", "HOR")</f>
        <v>#N/A</v>
      </c>
      <c r="D7" t="e">
        <f>RTD("rtdtrading.rtdserver",, "LREN3_B_0", "ULT")</f>
        <v>#N/A</v>
      </c>
      <c r="E7" t="e">
        <f>RTD("rtdtrading.rtdserver",, "LREN3_B_0", "ABE")</f>
        <v>#N/A</v>
      </c>
      <c r="F7" t="e">
        <f>RTD("rtdtrading.rtdserver",, "LREN3_B_0", "MAX")</f>
        <v>#N/A</v>
      </c>
      <c r="G7" t="e">
        <f>RTD("rtdtrading.rtdserver",, "LREN3_B_0", "MIN")</f>
        <v>#N/A</v>
      </c>
      <c r="H7" t="e">
        <f>RTD("rtdtrading.rtdserver",, "LREN3_B_0", "FEC")</f>
        <v>#N/A</v>
      </c>
      <c r="I7" t="e">
        <f>RTD("rtdtrading.rtdserver",, "LREN3_B_0", "PEX")</f>
        <v>#N/A</v>
      </c>
      <c r="J7" t="e">
        <f>RTD("rtdtrading.rtdserver",, "LREN3_B_0", "VAR")</f>
        <v>#N/A</v>
      </c>
      <c r="K7" t="e">
        <f>RTD("rtdtrading.rtdserver",, "LREN3_B_0", "VARPTS")</f>
        <v>#N/A</v>
      </c>
      <c r="L7" t="e">
        <f>RTD("rtdtrading.rtdserver",, "LREN3_B_0", "MED")</f>
        <v>#N/A</v>
      </c>
      <c r="M7" t="s">
        <v>67</v>
      </c>
      <c r="N7" t="e">
        <f>RTD("rtdtrading.rtdserver",, "LREN3_B_0", "NEG")</f>
        <v>#N/A</v>
      </c>
      <c r="O7" t="e">
        <f>RTD("rtdtrading.rtdserver",, "LREN3_B_0", "QUL")</f>
        <v>#N/A</v>
      </c>
      <c r="P7" t="e">
        <f>RTD("rtdtrading.rtdserver",, "LREN3_B_0", "QTT")</f>
        <v>#N/A</v>
      </c>
      <c r="Q7" t="e">
        <f>RTD("rtdtrading.rtdserver",, "LREN3_B_0", "VOL")</f>
        <v>#N/A</v>
      </c>
      <c r="R7" t="e">
        <f>RTD("rtdtrading.rtdserver",, "LREN3_B_0", "OCP")</f>
        <v>#N/A</v>
      </c>
      <c r="S7" t="e">
        <f>RTD("rtdtrading.rtdserver",, "LREN3_B_0", "OVD")</f>
        <v>#N/A</v>
      </c>
      <c r="T7" t="e">
        <f>RTD("rtdtrading.rtdserver",, "LREN3_B_0", "VOC")</f>
        <v>#N/A</v>
      </c>
      <c r="U7" t="e">
        <f>RTD("rtdtrading.rtdserver",, "LREN3_B_0", "VOV")</f>
        <v>#N/A</v>
      </c>
      <c r="V7" t="e">
        <f>RTD("rtdtrading.rtdserver",, "LREN3_B_0", "AJU")</f>
        <v>#N/A</v>
      </c>
      <c r="W7" t="e">
        <f>RTD("rtdtrading.rtdserver",, "LREN3_B_0", "AJA")</f>
        <v>#N/A</v>
      </c>
      <c r="X7" t="e">
        <f>RTD("rtdtrading.rtdserver",, "LREN3_B_0", "PRT")</f>
        <v>#N/A</v>
      </c>
      <c r="Y7" t="e">
        <f>RTD("rtdtrading.rtdserver",, "LREN3_B_0", "QTE")</f>
        <v>#N/A</v>
      </c>
      <c r="Z7" t="e">
        <f>RTD("rtdtrading.rtdserver",, "LREN3_B_0", "VPJ")</f>
        <v>#N/A</v>
      </c>
      <c r="AA7" t="e">
        <f>RTD("rtdtrading.rtdserver",, "LREN3_B_0", "SEM")</f>
        <v>#N/A</v>
      </c>
      <c r="AB7" t="e">
        <f>RTD("rtdtrading.rtdserver",, "LREN3_B_0", "MES")</f>
        <v>#N/A</v>
      </c>
      <c r="AC7" t="e">
        <f>RTD("rtdtrading.rtdserver",, "LREN3_B_0", "3M")</f>
        <v>#N/A</v>
      </c>
      <c r="AD7" t="e">
        <f>RTD("rtdtrading.rtdserver",, "LREN3_B_0", "6M")</f>
        <v>#N/A</v>
      </c>
      <c r="AE7" t="e">
        <f>RTD("rtdtrading.rtdserver",, "LREN3_B_0", "12M")</f>
        <v>#N/A</v>
      </c>
      <c r="AF7" t="e">
        <f>RTD("rtdtrading.rtdserver",, "LREN3_B_0", "ANO")</f>
        <v>#N/A</v>
      </c>
      <c r="AG7" t="e">
        <f>RTD("rtdtrading.rtdserver",, "LREN3_B_0", "TRIM")</f>
        <v>#N/A</v>
      </c>
      <c r="AH7" t="e">
        <f>RTD("rtdtrading.rtdserver",, "LREN3_B_0", "SEMES")</f>
        <v>#N/A</v>
      </c>
      <c r="AI7" t="e">
        <f>RTD("rtdtrading.rtdserver",, "LREN3_B_0", "VEN")</f>
        <v>#N/A</v>
      </c>
      <c r="AJ7" t="e">
        <f>RTD("rtdtrading.rtdserver",, "LREN3_B_0", "VAL")</f>
        <v>#N/A</v>
      </c>
      <c r="AK7" t="e">
        <f>RTD("rtdtrading.rtdserver",, "LREN3_B_0", "CAB")</f>
        <v>#N/A</v>
      </c>
      <c r="AL7" t="e">
        <f>RTD("rtdtrading.rtdserver",, "LREN3_B_0", "EST")</f>
        <v>#N/A</v>
      </c>
      <c r="AM7" t="e">
        <f>RTD("rtdtrading.rtdserver",, "LREN3_B_0", "BLACK")</f>
        <v>#N/A</v>
      </c>
      <c r="AN7" t="e">
        <f>RTD("rtdtrading.rtdserver",, "LREN3_B_0", "IMPVT")</f>
        <v>#N/A</v>
      </c>
      <c r="AO7" t="e">
        <f>RTD("rtdtrading.rtdserver",, "LREN3_B_0", "DELTA")</f>
        <v>#N/A</v>
      </c>
      <c r="AP7" t="e">
        <f>RTD("rtdtrading.rtdserver",, "LREN3_B_0", "GAMA")</f>
        <v>#N/A</v>
      </c>
      <c r="AQ7" t="e">
        <f>RTD("rtdtrading.rtdserver",, "LREN3_B_0", "THETA")</f>
        <v>#N/A</v>
      </c>
      <c r="AR7" t="e">
        <f>RTD("rtdtrading.rtdserver",, "LREN3_B_0", "RHO")</f>
        <v>#N/A</v>
      </c>
      <c r="AS7" t="e">
        <f>RTD("rtdtrading.rtdserver",, "LREN3_B_0", "VEGA")</f>
        <v>#N/A</v>
      </c>
      <c r="AT7" t="e">
        <f>RTD("rtdtrading.rtdserver",, "LREN3_B_0", "VIA")</f>
        <v>#N/A</v>
      </c>
      <c r="AU7" t="e">
        <f>RTD("rtdtrading.rtdserver",, "LREN3_B_0", "VIB")</f>
        <v>#N/A</v>
      </c>
      <c r="AV7" t="e">
        <f>RTD("rtdtrading.rtdserver",, "LREN3_B_0", "DOBRAR")</f>
        <v>#N/A</v>
      </c>
      <c r="AW7" t="e">
        <f>RTD("rtdtrading.rtdserver",, "LREN3_B_0", "VIVH")</f>
        <v>#N/A</v>
      </c>
      <c r="AX7" t="e">
        <f>RTD("rtdtrading.rtdserver",, "LREN3_B_0", "VINT")</f>
        <v>#N/A</v>
      </c>
      <c r="AY7" t="e">
        <f>RTD("rtdtrading.rtdserver",, "LREN3_B_0", "VEXT")</f>
        <v>#N/A</v>
      </c>
      <c r="AZ7" t="e">
        <f>RTD("rtdtrading.rtdserver",, "LREN3_B_0", "101_psicotrade")</f>
        <v>#N/A</v>
      </c>
      <c r="BA7" t="e">
        <f>RTD("rtdtrading.rtdserver",, "LREN3_B_0", "67")</f>
        <v>#N/A</v>
      </c>
    </row>
    <row r="8" spans="1:53" x14ac:dyDescent="0.35">
      <c r="A8" t="s">
        <v>68</v>
      </c>
      <c r="B8" t="e">
        <f>RTD("rtdtrading.rtdserver",, "CIEL3_B_0", "DAT")</f>
        <v>#N/A</v>
      </c>
      <c r="C8" t="e">
        <f>RTD("rtdtrading.rtdserver",, "CIEL3_B_0", "HOR")</f>
        <v>#N/A</v>
      </c>
      <c r="D8" t="e">
        <f>RTD("rtdtrading.rtdserver",, "CIEL3_B_0", "ULT")</f>
        <v>#N/A</v>
      </c>
      <c r="E8" t="e">
        <f>RTD("rtdtrading.rtdserver",, "CIEL3_B_0", "ABE")</f>
        <v>#N/A</v>
      </c>
      <c r="F8" t="e">
        <f>RTD("rtdtrading.rtdserver",, "CIEL3_B_0", "MAX")</f>
        <v>#N/A</v>
      </c>
      <c r="G8" t="e">
        <f>RTD("rtdtrading.rtdserver",, "CIEL3_B_0", "MIN")</f>
        <v>#N/A</v>
      </c>
      <c r="H8" t="e">
        <f>RTD("rtdtrading.rtdserver",, "CIEL3_B_0", "FEC")</f>
        <v>#N/A</v>
      </c>
      <c r="I8" t="e">
        <f>RTD("rtdtrading.rtdserver",, "CIEL3_B_0", "PEX")</f>
        <v>#N/A</v>
      </c>
      <c r="J8" t="e">
        <f>RTD("rtdtrading.rtdserver",, "CIEL3_B_0", "VAR")</f>
        <v>#N/A</v>
      </c>
      <c r="K8" t="e">
        <f>RTD("rtdtrading.rtdserver",, "CIEL3_B_0", "VARPTS")</f>
        <v>#N/A</v>
      </c>
      <c r="L8" t="e">
        <f>RTD("rtdtrading.rtdserver",, "CIEL3_B_0", "MED")</f>
        <v>#N/A</v>
      </c>
      <c r="M8" t="s">
        <v>69</v>
      </c>
      <c r="N8" t="e">
        <f>RTD("rtdtrading.rtdserver",, "CIEL3_B_0", "NEG")</f>
        <v>#N/A</v>
      </c>
      <c r="O8" t="e">
        <f>RTD("rtdtrading.rtdserver",, "CIEL3_B_0", "QUL")</f>
        <v>#N/A</v>
      </c>
      <c r="P8" t="e">
        <f>RTD("rtdtrading.rtdserver",, "CIEL3_B_0", "QTT")</f>
        <v>#N/A</v>
      </c>
      <c r="Q8" t="e">
        <f>RTD("rtdtrading.rtdserver",, "CIEL3_B_0", "VOL")</f>
        <v>#N/A</v>
      </c>
      <c r="R8" t="e">
        <f>RTD("rtdtrading.rtdserver",, "CIEL3_B_0", "OCP")</f>
        <v>#N/A</v>
      </c>
      <c r="S8" t="e">
        <f>RTD("rtdtrading.rtdserver",, "CIEL3_B_0", "OVD")</f>
        <v>#N/A</v>
      </c>
      <c r="T8" t="e">
        <f>RTD("rtdtrading.rtdserver",, "CIEL3_B_0", "VOC")</f>
        <v>#N/A</v>
      </c>
      <c r="U8" t="e">
        <f>RTD("rtdtrading.rtdserver",, "CIEL3_B_0", "VOV")</f>
        <v>#N/A</v>
      </c>
      <c r="V8" t="e">
        <f>RTD("rtdtrading.rtdserver",, "CIEL3_B_0", "AJU")</f>
        <v>#N/A</v>
      </c>
      <c r="W8" t="e">
        <f>RTD("rtdtrading.rtdserver",, "CIEL3_B_0", "AJA")</f>
        <v>#N/A</v>
      </c>
      <c r="X8" t="e">
        <f>RTD("rtdtrading.rtdserver",, "CIEL3_B_0", "PRT")</f>
        <v>#N/A</v>
      </c>
      <c r="Y8" t="e">
        <f>RTD("rtdtrading.rtdserver",, "CIEL3_B_0", "QTE")</f>
        <v>#N/A</v>
      </c>
      <c r="Z8" t="e">
        <f>RTD("rtdtrading.rtdserver",, "CIEL3_B_0", "VPJ")</f>
        <v>#N/A</v>
      </c>
      <c r="AA8" t="e">
        <f>RTD("rtdtrading.rtdserver",, "CIEL3_B_0", "SEM")</f>
        <v>#N/A</v>
      </c>
      <c r="AB8" t="e">
        <f>RTD("rtdtrading.rtdserver",, "CIEL3_B_0", "MES")</f>
        <v>#N/A</v>
      </c>
      <c r="AC8" t="e">
        <f>RTD("rtdtrading.rtdserver",, "CIEL3_B_0", "3M")</f>
        <v>#N/A</v>
      </c>
      <c r="AD8" t="e">
        <f>RTD("rtdtrading.rtdserver",, "CIEL3_B_0", "6M")</f>
        <v>#N/A</v>
      </c>
      <c r="AE8" t="e">
        <f>RTD("rtdtrading.rtdserver",, "CIEL3_B_0", "12M")</f>
        <v>#N/A</v>
      </c>
      <c r="AF8" t="e">
        <f>RTD("rtdtrading.rtdserver",, "CIEL3_B_0", "ANO")</f>
        <v>#N/A</v>
      </c>
      <c r="AG8" t="e">
        <f>RTD("rtdtrading.rtdserver",, "CIEL3_B_0", "TRIM")</f>
        <v>#N/A</v>
      </c>
      <c r="AH8" t="e">
        <f>RTD("rtdtrading.rtdserver",, "CIEL3_B_0", "SEMES")</f>
        <v>#N/A</v>
      </c>
      <c r="AI8" t="e">
        <f>RTD("rtdtrading.rtdserver",, "CIEL3_B_0", "VEN")</f>
        <v>#N/A</v>
      </c>
      <c r="AJ8" t="e">
        <f>RTD("rtdtrading.rtdserver",, "CIEL3_B_0", "VAL")</f>
        <v>#N/A</v>
      </c>
      <c r="AK8" t="e">
        <f>RTD("rtdtrading.rtdserver",, "CIEL3_B_0", "CAB")</f>
        <v>#N/A</v>
      </c>
      <c r="AL8" t="e">
        <f>RTD("rtdtrading.rtdserver",, "CIEL3_B_0", "EST")</f>
        <v>#N/A</v>
      </c>
      <c r="AM8" t="e">
        <f>RTD("rtdtrading.rtdserver",, "CIEL3_B_0", "BLACK")</f>
        <v>#N/A</v>
      </c>
      <c r="AN8" t="e">
        <f>RTD("rtdtrading.rtdserver",, "CIEL3_B_0", "IMPVT")</f>
        <v>#N/A</v>
      </c>
      <c r="AO8" t="e">
        <f>RTD("rtdtrading.rtdserver",, "CIEL3_B_0", "DELTA")</f>
        <v>#N/A</v>
      </c>
      <c r="AP8" t="e">
        <f>RTD("rtdtrading.rtdserver",, "CIEL3_B_0", "GAMA")</f>
        <v>#N/A</v>
      </c>
      <c r="AQ8" t="e">
        <f>RTD("rtdtrading.rtdserver",, "CIEL3_B_0", "THETA")</f>
        <v>#N/A</v>
      </c>
      <c r="AR8" t="e">
        <f>RTD("rtdtrading.rtdserver",, "CIEL3_B_0", "RHO")</f>
        <v>#N/A</v>
      </c>
      <c r="AS8" t="e">
        <f>RTD("rtdtrading.rtdserver",, "CIEL3_B_0", "VEGA")</f>
        <v>#N/A</v>
      </c>
      <c r="AT8" t="e">
        <f>RTD("rtdtrading.rtdserver",, "CIEL3_B_0", "VIA")</f>
        <v>#N/A</v>
      </c>
      <c r="AU8" t="e">
        <f>RTD("rtdtrading.rtdserver",, "CIEL3_B_0", "VIB")</f>
        <v>#N/A</v>
      </c>
      <c r="AV8" t="e">
        <f>RTD("rtdtrading.rtdserver",, "CIEL3_B_0", "DOBRAR")</f>
        <v>#N/A</v>
      </c>
      <c r="AW8" t="e">
        <f>RTD("rtdtrading.rtdserver",, "CIEL3_B_0", "VIVH")</f>
        <v>#N/A</v>
      </c>
      <c r="AX8" t="e">
        <f>RTD("rtdtrading.rtdserver",, "CIEL3_B_0", "VINT")</f>
        <v>#N/A</v>
      </c>
      <c r="AY8" t="e">
        <f>RTD("rtdtrading.rtdserver",, "CIEL3_B_0", "VEXT")</f>
        <v>#N/A</v>
      </c>
      <c r="AZ8" t="e">
        <f>RTD("rtdtrading.rtdserver",, "CIEL3_B_0", "101_psicotrade")</f>
        <v>#N/A</v>
      </c>
      <c r="BA8" t="e">
        <f>RTD("rtdtrading.rtdserver",, "CIEL3_B_0", "67")</f>
        <v>#N/A</v>
      </c>
    </row>
    <row r="9" spans="1:53" x14ac:dyDescent="0.35">
      <c r="A9" t="s">
        <v>70</v>
      </c>
      <c r="B9" t="e">
        <f>RTD("rtdtrading.rtdserver",, "ECOR3_B_0", "DAT")</f>
        <v>#N/A</v>
      </c>
      <c r="C9" t="e">
        <f>RTD("rtdtrading.rtdserver",, "ECOR3_B_0", "HOR")</f>
        <v>#N/A</v>
      </c>
      <c r="D9" t="e">
        <f>RTD("rtdtrading.rtdserver",, "ECOR3_B_0", "ULT")</f>
        <v>#N/A</v>
      </c>
      <c r="E9" t="e">
        <f>RTD("rtdtrading.rtdserver",, "ECOR3_B_0", "ABE")</f>
        <v>#N/A</v>
      </c>
      <c r="F9" t="e">
        <f>RTD("rtdtrading.rtdserver",, "ECOR3_B_0", "MAX")</f>
        <v>#N/A</v>
      </c>
      <c r="G9" t="e">
        <f>RTD("rtdtrading.rtdserver",, "ECOR3_B_0", "MIN")</f>
        <v>#N/A</v>
      </c>
      <c r="H9" t="e">
        <f>RTD("rtdtrading.rtdserver",, "ECOR3_B_0", "FEC")</f>
        <v>#N/A</v>
      </c>
      <c r="I9" t="e">
        <f>RTD("rtdtrading.rtdserver",, "ECOR3_B_0", "PEX")</f>
        <v>#N/A</v>
      </c>
      <c r="J9" t="e">
        <f>RTD("rtdtrading.rtdserver",, "ECOR3_B_0", "VAR")</f>
        <v>#N/A</v>
      </c>
      <c r="K9" t="e">
        <f>RTD("rtdtrading.rtdserver",, "ECOR3_B_0", "VARPTS")</f>
        <v>#N/A</v>
      </c>
      <c r="L9" t="e">
        <f>RTD("rtdtrading.rtdserver",, "ECOR3_B_0", "MED")</f>
        <v>#N/A</v>
      </c>
      <c r="M9" t="s">
        <v>71</v>
      </c>
      <c r="N9" t="e">
        <f>RTD("rtdtrading.rtdserver",, "ECOR3_B_0", "NEG")</f>
        <v>#N/A</v>
      </c>
      <c r="O9" t="e">
        <f>RTD("rtdtrading.rtdserver",, "ECOR3_B_0", "QUL")</f>
        <v>#N/A</v>
      </c>
      <c r="P9" t="e">
        <f>RTD("rtdtrading.rtdserver",, "ECOR3_B_0", "QTT")</f>
        <v>#N/A</v>
      </c>
      <c r="Q9" t="e">
        <f>RTD("rtdtrading.rtdserver",, "ECOR3_B_0", "VOL")</f>
        <v>#N/A</v>
      </c>
      <c r="R9" t="e">
        <f>RTD("rtdtrading.rtdserver",, "ECOR3_B_0", "OCP")</f>
        <v>#N/A</v>
      </c>
      <c r="S9" t="e">
        <f>RTD("rtdtrading.rtdserver",, "ECOR3_B_0", "OVD")</f>
        <v>#N/A</v>
      </c>
      <c r="T9" t="e">
        <f>RTD("rtdtrading.rtdserver",, "ECOR3_B_0", "VOC")</f>
        <v>#N/A</v>
      </c>
      <c r="U9" t="e">
        <f>RTD("rtdtrading.rtdserver",, "ECOR3_B_0", "VOV")</f>
        <v>#N/A</v>
      </c>
      <c r="V9" t="e">
        <f>RTD("rtdtrading.rtdserver",, "ECOR3_B_0", "AJU")</f>
        <v>#N/A</v>
      </c>
      <c r="W9" t="e">
        <f>RTD("rtdtrading.rtdserver",, "ECOR3_B_0", "AJA")</f>
        <v>#N/A</v>
      </c>
      <c r="X9" t="e">
        <f>RTD("rtdtrading.rtdserver",, "ECOR3_B_0", "PRT")</f>
        <v>#N/A</v>
      </c>
      <c r="Y9" t="e">
        <f>RTD("rtdtrading.rtdserver",, "ECOR3_B_0", "QTE")</f>
        <v>#N/A</v>
      </c>
      <c r="Z9" t="e">
        <f>RTD("rtdtrading.rtdserver",, "ECOR3_B_0", "VPJ")</f>
        <v>#N/A</v>
      </c>
      <c r="AA9" t="e">
        <f>RTD("rtdtrading.rtdserver",, "ECOR3_B_0", "SEM")</f>
        <v>#N/A</v>
      </c>
      <c r="AB9" t="e">
        <f>RTD("rtdtrading.rtdserver",, "ECOR3_B_0", "MES")</f>
        <v>#N/A</v>
      </c>
      <c r="AC9" t="e">
        <f>RTD("rtdtrading.rtdserver",, "ECOR3_B_0", "3M")</f>
        <v>#N/A</v>
      </c>
      <c r="AD9" t="e">
        <f>RTD("rtdtrading.rtdserver",, "ECOR3_B_0", "6M")</f>
        <v>#N/A</v>
      </c>
      <c r="AE9" t="e">
        <f>RTD("rtdtrading.rtdserver",, "ECOR3_B_0", "12M")</f>
        <v>#N/A</v>
      </c>
      <c r="AF9" t="e">
        <f>RTD("rtdtrading.rtdserver",, "ECOR3_B_0", "ANO")</f>
        <v>#N/A</v>
      </c>
      <c r="AG9" t="e">
        <f>RTD("rtdtrading.rtdserver",, "ECOR3_B_0", "TRIM")</f>
        <v>#N/A</v>
      </c>
      <c r="AH9" t="e">
        <f>RTD("rtdtrading.rtdserver",, "ECOR3_B_0", "SEMES")</f>
        <v>#N/A</v>
      </c>
      <c r="AI9" t="e">
        <f>RTD("rtdtrading.rtdserver",, "ECOR3_B_0", "VEN")</f>
        <v>#N/A</v>
      </c>
      <c r="AJ9" t="e">
        <f>RTD("rtdtrading.rtdserver",, "ECOR3_B_0", "VAL")</f>
        <v>#N/A</v>
      </c>
      <c r="AK9" t="e">
        <f>RTD("rtdtrading.rtdserver",, "ECOR3_B_0", "CAB")</f>
        <v>#N/A</v>
      </c>
      <c r="AL9" t="e">
        <f>RTD("rtdtrading.rtdserver",, "ECOR3_B_0", "EST")</f>
        <v>#N/A</v>
      </c>
      <c r="AM9" t="e">
        <f>RTD("rtdtrading.rtdserver",, "ECOR3_B_0", "BLACK")</f>
        <v>#N/A</v>
      </c>
      <c r="AN9" t="e">
        <f>RTD("rtdtrading.rtdserver",, "ECOR3_B_0", "IMPVT")</f>
        <v>#N/A</v>
      </c>
      <c r="AO9" t="e">
        <f>RTD("rtdtrading.rtdserver",, "ECOR3_B_0", "DELTA")</f>
        <v>#N/A</v>
      </c>
      <c r="AP9" t="e">
        <f>RTD("rtdtrading.rtdserver",, "ECOR3_B_0", "GAMA")</f>
        <v>#N/A</v>
      </c>
      <c r="AQ9" t="e">
        <f>RTD("rtdtrading.rtdserver",, "ECOR3_B_0", "THETA")</f>
        <v>#N/A</v>
      </c>
      <c r="AR9" t="e">
        <f>RTD("rtdtrading.rtdserver",, "ECOR3_B_0", "RHO")</f>
        <v>#N/A</v>
      </c>
      <c r="AS9" t="e">
        <f>RTD("rtdtrading.rtdserver",, "ECOR3_B_0", "VEGA")</f>
        <v>#N/A</v>
      </c>
      <c r="AT9" t="e">
        <f>RTD("rtdtrading.rtdserver",, "ECOR3_B_0", "VIA")</f>
        <v>#N/A</v>
      </c>
      <c r="AU9" t="e">
        <f>RTD("rtdtrading.rtdserver",, "ECOR3_B_0", "VIB")</f>
        <v>#N/A</v>
      </c>
      <c r="AV9" t="e">
        <f>RTD("rtdtrading.rtdserver",, "ECOR3_B_0", "DOBRAR")</f>
        <v>#N/A</v>
      </c>
      <c r="AW9" t="e">
        <f>RTD("rtdtrading.rtdserver",, "ECOR3_B_0", "VIVH")</f>
        <v>#N/A</v>
      </c>
      <c r="AX9" t="e">
        <f>RTD("rtdtrading.rtdserver",, "ECOR3_B_0", "VINT")</f>
        <v>#N/A</v>
      </c>
      <c r="AY9" t="e">
        <f>RTD("rtdtrading.rtdserver",, "ECOR3_B_0", "VEXT")</f>
        <v>#N/A</v>
      </c>
      <c r="AZ9" t="e">
        <f>RTD("rtdtrading.rtdserver",, "ECOR3_B_0", "101_psicotrade")</f>
        <v>#N/A</v>
      </c>
      <c r="BA9" t="e">
        <f>RTD("rtdtrading.rtdserver",, "ECOR3_B_0", "67")</f>
        <v>#N/A</v>
      </c>
    </row>
    <row r="10" spans="1:53" x14ac:dyDescent="0.35">
      <c r="A10" t="s">
        <v>72</v>
      </c>
      <c r="B10" t="e">
        <f>RTD("rtdtrading.rtdserver",, "GFSA3_B_0", "DAT")</f>
        <v>#N/A</v>
      </c>
      <c r="C10" t="e">
        <f>RTD("rtdtrading.rtdserver",, "GFSA3_B_0", "HOR")</f>
        <v>#N/A</v>
      </c>
      <c r="D10" t="e">
        <f>RTD("rtdtrading.rtdserver",, "GFSA3_B_0", "ULT")</f>
        <v>#N/A</v>
      </c>
      <c r="E10" t="e">
        <f>RTD("rtdtrading.rtdserver",, "GFSA3_B_0", "ABE")</f>
        <v>#N/A</v>
      </c>
      <c r="F10" t="e">
        <f>RTD("rtdtrading.rtdserver",, "GFSA3_B_0", "MAX")</f>
        <v>#N/A</v>
      </c>
      <c r="G10" t="e">
        <f>RTD("rtdtrading.rtdserver",, "GFSA3_B_0", "MIN")</f>
        <v>#N/A</v>
      </c>
      <c r="H10" t="e">
        <f>RTD("rtdtrading.rtdserver",, "GFSA3_B_0", "FEC")</f>
        <v>#N/A</v>
      </c>
      <c r="I10" t="e">
        <f>RTD("rtdtrading.rtdserver",, "GFSA3_B_0", "PEX")</f>
        <v>#N/A</v>
      </c>
      <c r="J10" t="e">
        <f>RTD("rtdtrading.rtdserver",, "GFSA3_B_0", "VAR")</f>
        <v>#N/A</v>
      </c>
      <c r="K10" t="e">
        <f>RTD("rtdtrading.rtdserver",, "GFSA3_B_0", "VARPTS")</f>
        <v>#N/A</v>
      </c>
      <c r="L10" t="e">
        <f>RTD("rtdtrading.rtdserver",, "GFSA3_B_0", "MED")</f>
        <v>#N/A</v>
      </c>
      <c r="M10" t="s">
        <v>73</v>
      </c>
      <c r="N10" t="e">
        <f>RTD("rtdtrading.rtdserver",, "GFSA3_B_0", "NEG")</f>
        <v>#N/A</v>
      </c>
      <c r="O10" t="e">
        <f>RTD("rtdtrading.rtdserver",, "GFSA3_B_0", "QUL")</f>
        <v>#N/A</v>
      </c>
      <c r="P10" t="e">
        <f>RTD("rtdtrading.rtdserver",, "GFSA3_B_0", "QTT")</f>
        <v>#N/A</v>
      </c>
      <c r="Q10" t="e">
        <f>RTD("rtdtrading.rtdserver",, "GFSA3_B_0", "VOL")</f>
        <v>#N/A</v>
      </c>
      <c r="R10" t="e">
        <f>RTD("rtdtrading.rtdserver",, "GFSA3_B_0", "OCP")</f>
        <v>#N/A</v>
      </c>
      <c r="S10" t="e">
        <f>RTD("rtdtrading.rtdserver",, "GFSA3_B_0", "OVD")</f>
        <v>#N/A</v>
      </c>
      <c r="T10" t="e">
        <f>RTD("rtdtrading.rtdserver",, "GFSA3_B_0", "VOC")</f>
        <v>#N/A</v>
      </c>
      <c r="U10" t="e">
        <f>RTD("rtdtrading.rtdserver",, "GFSA3_B_0", "VOV")</f>
        <v>#N/A</v>
      </c>
      <c r="V10" t="e">
        <f>RTD("rtdtrading.rtdserver",, "GFSA3_B_0", "AJU")</f>
        <v>#N/A</v>
      </c>
      <c r="W10" t="e">
        <f>RTD("rtdtrading.rtdserver",, "GFSA3_B_0", "AJA")</f>
        <v>#N/A</v>
      </c>
      <c r="X10" t="e">
        <f>RTD("rtdtrading.rtdserver",, "GFSA3_B_0", "PRT")</f>
        <v>#N/A</v>
      </c>
      <c r="Y10" t="e">
        <f>RTD("rtdtrading.rtdserver",, "GFSA3_B_0", "QTE")</f>
        <v>#N/A</v>
      </c>
      <c r="Z10" t="e">
        <f>RTD("rtdtrading.rtdserver",, "GFSA3_B_0", "VPJ")</f>
        <v>#N/A</v>
      </c>
      <c r="AA10" t="e">
        <f>RTD("rtdtrading.rtdserver",, "GFSA3_B_0", "SEM")</f>
        <v>#N/A</v>
      </c>
      <c r="AB10" t="e">
        <f>RTD("rtdtrading.rtdserver",, "GFSA3_B_0", "MES")</f>
        <v>#N/A</v>
      </c>
      <c r="AC10" t="e">
        <f>RTD("rtdtrading.rtdserver",, "GFSA3_B_0", "3M")</f>
        <v>#N/A</v>
      </c>
      <c r="AD10" t="e">
        <f>RTD("rtdtrading.rtdserver",, "GFSA3_B_0", "6M")</f>
        <v>#N/A</v>
      </c>
      <c r="AE10" t="e">
        <f>RTD("rtdtrading.rtdserver",, "GFSA3_B_0", "12M")</f>
        <v>#N/A</v>
      </c>
      <c r="AF10" t="e">
        <f>RTD("rtdtrading.rtdserver",, "GFSA3_B_0", "ANO")</f>
        <v>#N/A</v>
      </c>
      <c r="AG10" t="e">
        <f>RTD("rtdtrading.rtdserver",, "GFSA3_B_0", "TRIM")</f>
        <v>#N/A</v>
      </c>
      <c r="AH10" t="e">
        <f>RTD("rtdtrading.rtdserver",, "GFSA3_B_0", "SEMES")</f>
        <v>#N/A</v>
      </c>
      <c r="AI10" t="e">
        <f>RTD("rtdtrading.rtdserver",, "GFSA3_B_0", "VEN")</f>
        <v>#N/A</v>
      </c>
      <c r="AJ10" t="e">
        <f>RTD("rtdtrading.rtdserver",, "GFSA3_B_0", "VAL")</f>
        <v>#N/A</v>
      </c>
      <c r="AK10" t="e">
        <f>RTD("rtdtrading.rtdserver",, "GFSA3_B_0", "CAB")</f>
        <v>#N/A</v>
      </c>
      <c r="AL10" t="e">
        <f>RTD("rtdtrading.rtdserver",, "GFSA3_B_0", "EST")</f>
        <v>#N/A</v>
      </c>
      <c r="AM10" t="e">
        <f>RTD("rtdtrading.rtdserver",, "GFSA3_B_0", "BLACK")</f>
        <v>#N/A</v>
      </c>
      <c r="AN10" t="e">
        <f>RTD("rtdtrading.rtdserver",, "GFSA3_B_0", "IMPVT")</f>
        <v>#N/A</v>
      </c>
      <c r="AO10" t="e">
        <f>RTD("rtdtrading.rtdserver",, "GFSA3_B_0", "DELTA")</f>
        <v>#N/A</v>
      </c>
      <c r="AP10" t="e">
        <f>RTD("rtdtrading.rtdserver",, "GFSA3_B_0", "GAMA")</f>
        <v>#N/A</v>
      </c>
      <c r="AQ10" t="e">
        <f>RTD("rtdtrading.rtdserver",, "GFSA3_B_0", "THETA")</f>
        <v>#N/A</v>
      </c>
      <c r="AR10" t="e">
        <f>RTD("rtdtrading.rtdserver",, "GFSA3_B_0", "RHO")</f>
        <v>#N/A</v>
      </c>
      <c r="AS10" t="e">
        <f>RTD("rtdtrading.rtdserver",, "GFSA3_B_0", "VEGA")</f>
        <v>#N/A</v>
      </c>
      <c r="AT10" t="e">
        <f>RTD("rtdtrading.rtdserver",, "GFSA3_B_0", "VIA")</f>
        <v>#N/A</v>
      </c>
      <c r="AU10" t="e">
        <f>RTD("rtdtrading.rtdserver",, "GFSA3_B_0", "VIB")</f>
        <v>#N/A</v>
      </c>
      <c r="AV10" t="e">
        <f>RTD("rtdtrading.rtdserver",, "GFSA3_B_0", "DOBRAR")</f>
        <v>#N/A</v>
      </c>
      <c r="AW10" t="e">
        <f>RTD("rtdtrading.rtdserver",, "GFSA3_B_0", "VIVH")</f>
        <v>#N/A</v>
      </c>
      <c r="AX10" t="e">
        <f>RTD("rtdtrading.rtdserver",, "GFSA3_B_0", "VINT")</f>
        <v>#N/A</v>
      </c>
      <c r="AY10" t="e">
        <f>RTD("rtdtrading.rtdserver",, "GFSA3_B_0", "VEXT")</f>
        <v>#N/A</v>
      </c>
      <c r="AZ10" t="e">
        <f>RTD("rtdtrading.rtdserver",, "GFSA3_B_0", "101_psicotrade")</f>
        <v>#N/A</v>
      </c>
      <c r="BA10" t="e">
        <f>RTD("rtdtrading.rtdserver",, "GFSA3_B_0", "67")</f>
        <v>#N/A</v>
      </c>
    </row>
    <row r="11" spans="1:53" x14ac:dyDescent="0.35">
      <c r="A11" t="s">
        <v>74</v>
      </c>
      <c r="B11" t="e">
        <f>RTD("rtdtrading.rtdserver",, "MRVE3_B_0", "DAT")</f>
        <v>#N/A</v>
      </c>
      <c r="C11" t="e">
        <f>RTD("rtdtrading.rtdserver",, "MRVE3_B_0", "HOR")</f>
        <v>#N/A</v>
      </c>
      <c r="D11" t="e">
        <f>RTD("rtdtrading.rtdserver",, "MRVE3_B_0", "ULT")</f>
        <v>#N/A</v>
      </c>
      <c r="E11" t="e">
        <f>RTD("rtdtrading.rtdserver",, "MRVE3_B_0", "ABE")</f>
        <v>#N/A</v>
      </c>
      <c r="F11" t="e">
        <f>RTD("rtdtrading.rtdserver",, "MRVE3_B_0", "MAX")</f>
        <v>#N/A</v>
      </c>
      <c r="G11" t="e">
        <f>RTD("rtdtrading.rtdserver",, "MRVE3_B_0", "MIN")</f>
        <v>#N/A</v>
      </c>
      <c r="H11" t="e">
        <f>RTD("rtdtrading.rtdserver",, "MRVE3_B_0", "FEC")</f>
        <v>#N/A</v>
      </c>
      <c r="I11" t="e">
        <f>RTD("rtdtrading.rtdserver",, "MRVE3_B_0", "PEX")</f>
        <v>#N/A</v>
      </c>
      <c r="J11" t="e">
        <f>RTD("rtdtrading.rtdserver",, "MRVE3_B_0", "VAR")</f>
        <v>#N/A</v>
      </c>
      <c r="K11" t="e">
        <f>RTD("rtdtrading.rtdserver",, "MRVE3_B_0", "VARPTS")</f>
        <v>#N/A</v>
      </c>
      <c r="L11" t="e">
        <f>RTD("rtdtrading.rtdserver",, "MRVE3_B_0", "MED")</f>
        <v>#N/A</v>
      </c>
      <c r="M11" t="s">
        <v>75</v>
      </c>
      <c r="N11" t="e">
        <f>RTD("rtdtrading.rtdserver",, "MRVE3_B_0", "NEG")</f>
        <v>#N/A</v>
      </c>
      <c r="O11" t="e">
        <f>RTD("rtdtrading.rtdserver",, "MRVE3_B_0", "QUL")</f>
        <v>#N/A</v>
      </c>
      <c r="P11" t="e">
        <f>RTD("rtdtrading.rtdserver",, "MRVE3_B_0", "QTT")</f>
        <v>#N/A</v>
      </c>
      <c r="Q11" t="e">
        <f>RTD("rtdtrading.rtdserver",, "MRVE3_B_0", "VOL")</f>
        <v>#N/A</v>
      </c>
      <c r="R11" t="e">
        <f>RTD("rtdtrading.rtdserver",, "MRVE3_B_0", "OCP")</f>
        <v>#N/A</v>
      </c>
      <c r="S11" t="e">
        <f>RTD("rtdtrading.rtdserver",, "MRVE3_B_0", "OVD")</f>
        <v>#N/A</v>
      </c>
      <c r="T11" t="e">
        <f>RTD("rtdtrading.rtdserver",, "MRVE3_B_0", "VOC")</f>
        <v>#N/A</v>
      </c>
      <c r="U11" t="e">
        <f>RTD("rtdtrading.rtdserver",, "MRVE3_B_0", "VOV")</f>
        <v>#N/A</v>
      </c>
      <c r="V11" t="e">
        <f>RTD("rtdtrading.rtdserver",, "MRVE3_B_0", "AJU")</f>
        <v>#N/A</v>
      </c>
      <c r="W11" t="e">
        <f>RTD("rtdtrading.rtdserver",, "MRVE3_B_0", "AJA")</f>
        <v>#N/A</v>
      </c>
      <c r="X11" t="e">
        <f>RTD("rtdtrading.rtdserver",, "MRVE3_B_0", "PRT")</f>
        <v>#N/A</v>
      </c>
      <c r="Y11" t="e">
        <f>RTD("rtdtrading.rtdserver",, "MRVE3_B_0", "QTE")</f>
        <v>#N/A</v>
      </c>
      <c r="Z11" t="e">
        <f>RTD("rtdtrading.rtdserver",, "MRVE3_B_0", "VPJ")</f>
        <v>#N/A</v>
      </c>
      <c r="AA11" t="e">
        <f>RTD("rtdtrading.rtdserver",, "MRVE3_B_0", "SEM")</f>
        <v>#N/A</v>
      </c>
      <c r="AB11" t="e">
        <f>RTD("rtdtrading.rtdserver",, "MRVE3_B_0", "MES")</f>
        <v>#N/A</v>
      </c>
      <c r="AC11" t="e">
        <f>RTD("rtdtrading.rtdserver",, "MRVE3_B_0", "3M")</f>
        <v>#N/A</v>
      </c>
      <c r="AD11" t="e">
        <f>RTD("rtdtrading.rtdserver",, "MRVE3_B_0", "6M")</f>
        <v>#N/A</v>
      </c>
      <c r="AE11" t="e">
        <f>RTD("rtdtrading.rtdserver",, "MRVE3_B_0", "12M")</f>
        <v>#N/A</v>
      </c>
      <c r="AF11" t="e">
        <f>RTD("rtdtrading.rtdserver",, "MRVE3_B_0", "ANO")</f>
        <v>#N/A</v>
      </c>
      <c r="AG11" t="e">
        <f>RTD("rtdtrading.rtdserver",, "MRVE3_B_0", "TRIM")</f>
        <v>#N/A</v>
      </c>
      <c r="AH11" t="e">
        <f>RTD("rtdtrading.rtdserver",, "MRVE3_B_0", "SEMES")</f>
        <v>#N/A</v>
      </c>
      <c r="AI11" t="e">
        <f>RTD("rtdtrading.rtdserver",, "MRVE3_B_0", "VEN")</f>
        <v>#N/A</v>
      </c>
      <c r="AJ11" t="e">
        <f>RTD("rtdtrading.rtdserver",, "MRVE3_B_0", "VAL")</f>
        <v>#N/A</v>
      </c>
      <c r="AK11" t="e">
        <f>RTD("rtdtrading.rtdserver",, "MRVE3_B_0", "CAB")</f>
        <v>#N/A</v>
      </c>
      <c r="AL11" t="e">
        <f>RTD("rtdtrading.rtdserver",, "MRVE3_B_0", "EST")</f>
        <v>#N/A</v>
      </c>
      <c r="AM11" t="e">
        <f>RTD("rtdtrading.rtdserver",, "MRVE3_B_0", "BLACK")</f>
        <v>#N/A</v>
      </c>
      <c r="AN11" t="e">
        <f>RTD("rtdtrading.rtdserver",, "MRVE3_B_0", "IMPVT")</f>
        <v>#N/A</v>
      </c>
      <c r="AO11" t="e">
        <f>RTD("rtdtrading.rtdserver",, "MRVE3_B_0", "DELTA")</f>
        <v>#N/A</v>
      </c>
      <c r="AP11" t="e">
        <f>RTD("rtdtrading.rtdserver",, "MRVE3_B_0", "GAMA")</f>
        <v>#N/A</v>
      </c>
      <c r="AQ11" t="e">
        <f>RTD("rtdtrading.rtdserver",, "MRVE3_B_0", "THETA")</f>
        <v>#N/A</v>
      </c>
      <c r="AR11" t="e">
        <f>RTD("rtdtrading.rtdserver",, "MRVE3_B_0", "RHO")</f>
        <v>#N/A</v>
      </c>
      <c r="AS11" t="e">
        <f>RTD("rtdtrading.rtdserver",, "MRVE3_B_0", "VEGA")</f>
        <v>#N/A</v>
      </c>
      <c r="AT11" t="e">
        <f>RTD("rtdtrading.rtdserver",, "MRVE3_B_0", "VIA")</f>
        <v>#N/A</v>
      </c>
      <c r="AU11" t="e">
        <f>RTD("rtdtrading.rtdserver",, "MRVE3_B_0", "VIB")</f>
        <v>#N/A</v>
      </c>
      <c r="AV11" t="e">
        <f>RTD("rtdtrading.rtdserver",, "MRVE3_B_0", "DOBRAR")</f>
        <v>#N/A</v>
      </c>
      <c r="AW11" t="e">
        <f>RTD("rtdtrading.rtdserver",, "MRVE3_B_0", "VIVH")</f>
        <v>#N/A</v>
      </c>
      <c r="AX11" t="e">
        <f>RTD("rtdtrading.rtdserver",, "MRVE3_B_0", "VINT")</f>
        <v>#N/A</v>
      </c>
      <c r="AY11" t="e">
        <f>RTD("rtdtrading.rtdserver",, "MRVE3_B_0", "VEXT")</f>
        <v>#N/A</v>
      </c>
      <c r="AZ11" t="e">
        <f>RTD("rtdtrading.rtdserver",, "MRVE3_B_0", "101_psicotrade")</f>
        <v>#N/A</v>
      </c>
      <c r="BA11" t="e">
        <f>RTD("rtdtrading.rtdserver",, "MRVE3_B_0", "67")</f>
        <v>#N/A</v>
      </c>
    </row>
    <row r="12" spans="1:53" x14ac:dyDescent="0.35">
      <c r="A12" t="s">
        <v>76</v>
      </c>
      <c r="B12" t="e">
        <f>RTD("rtdtrading.rtdserver",, "BBDC4_B_0", "DAT")</f>
        <v>#N/A</v>
      </c>
      <c r="C12" t="e">
        <f>RTD("rtdtrading.rtdserver",, "BBDC4_B_0", "HOR")</f>
        <v>#N/A</v>
      </c>
      <c r="D12" t="e">
        <f>RTD("rtdtrading.rtdserver",, "BBDC4_B_0", "ULT")</f>
        <v>#N/A</v>
      </c>
      <c r="E12" t="e">
        <f>RTD("rtdtrading.rtdserver",, "BBDC4_B_0", "ABE")</f>
        <v>#N/A</v>
      </c>
      <c r="F12" t="e">
        <f>RTD("rtdtrading.rtdserver",, "BBDC4_B_0", "MAX")</f>
        <v>#N/A</v>
      </c>
      <c r="G12" t="e">
        <f>RTD("rtdtrading.rtdserver",, "BBDC4_B_0", "MIN")</f>
        <v>#N/A</v>
      </c>
      <c r="H12" t="e">
        <f>RTD("rtdtrading.rtdserver",, "BBDC4_B_0", "FEC")</f>
        <v>#N/A</v>
      </c>
      <c r="I12" t="e">
        <f>RTD("rtdtrading.rtdserver",, "BBDC4_B_0", "PEX")</f>
        <v>#N/A</v>
      </c>
      <c r="J12" t="e">
        <f>RTD("rtdtrading.rtdserver",, "BBDC4_B_0", "VAR")</f>
        <v>#N/A</v>
      </c>
      <c r="K12" t="e">
        <f>RTD("rtdtrading.rtdserver",, "BBDC4_B_0", "VARPTS")</f>
        <v>#N/A</v>
      </c>
      <c r="L12" t="e">
        <f>RTD("rtdtrading.rtdserver",, "BBDC4_B_0", "MED")</f>
        <v>#N/A</v>
      </c>
      <c r="M12" t="s">
        <v>105</v>
      </c>
      <c r="N12" t="e">
        <f>RTD("rtdtrading.rtdserver",, "BBDC4_B_0", "NEG")</f>
        <v>#N/A</v>
      </c>
      <c r="O12" t="e">
        <f>RTD("rtdtrading.rtdserver",, "BBDC4_B_0", "QUL")</f>
        <v>#N/A</v>
      </c>
      <c r="P12" t="e">
        <f>RTD("rtdtrading.rtdserver",, "BBDC4_B_0", "QTT")</f>
        <v>#N/A</v>
      </c>
      <c r="Q12" t="e">
        <f>RTD("rtdtrading.rtdserver",, "BBDC4_B_0", "VOL")</f>
        <v>#N/A</v>
      </c>
      <c r="R12" t="e">
        <f>RTD("rtdtrading.rtdserver",, "BBDC4_B_0", "OCP")</f>
        <v>#N/A</v>
      </c>
      <c r="S12" t="e">
        <f>RTD("rtdtrading.rtdserver",, "BBDC4_B_0", "OVD")</f>
        <v>#N/A</v>
      </c>
      <c r="T12" t="e">
        <f>RTD("rtdtrading.rtdserver",, "BBDC4_B_0", "VOC")</f>
        <v>#N/A</v>
      </c>
      <c r="U12" t="e">
        <f>RTD("rtdtrading.rtdserver",, "BBDC4_B_0", "VOV")</f>
        <v>#N/A</v>
      </c>
      <c r="V12" t="e">
        <f>RTD("rtdtrading.rtdserver",, "BBDC4_B_0", "AJU")</f>
        <v>#N/A</v>
      </c>
      <c r="W12" t="e">
        <f>RTD("rtdtrading.rtdserver",, "BBDC4_B_0", "AJA")</f>
        <v>#N/A</v>
      </c>
      <c r="X12" t="e">
        <f>RTD("rtdtrading.rtdserver",, "BBDC4_B_0", "PRT")</f>
        <v>#N/A</v>
      </c>
      <c r="Y12" t="e">
        <f>RTD("rtdtrading.rtdserver",, "BBDC4_B_0", "QTE")</f>
        <v>#N/A</v>
      </c>
      <c r="Z12" t="e">
        <f>RTD("rtdtrading.rtdserver",, "BBDC4_B_0", "VPJ")</f>
        <v>#N/A</v>
      </c>
      <c r="AA12" t="e">
        <f>RTD("rtdtrading.rtdserver",, "BBDC4_B_0", "SEM")</f>
        <v>#N/A</v>
      </c>
      <c r="AB12" t="e">
        <f>RTD("rtdtrading.rtdserver",, "BBDC4_B_0", "MES")</f>
        <v>#N/A</v>
      </c>
      <c r="AC12" t="e">
        <f>RTD("rtdtrading.rtdserver",, "BBDC4_B_0", "3M")</f>
        <v>#N/A</v>
      </c>
      <c r="AD12" t="e">
        <f>RTD("rtdtrading.rtdserver",, "BBDC4_B_0", "6M")</f>
        <v>#N/A</v>
      </c>
      <c r="AE12" t="e">
        <f>RTD("rtdtrading.rtdserver",, "BBDC4_B_0", "12M")</f>
        <v>#N/A</v>
      </c>
      <c r="AF12" t="e">
        <f>RTD("rtdtrading.rtdserver",, "BBDC4_B_0", "ANO")</f>
        <v>#N/A</v>
      </c>
      <c r="AG12" t="e">
        <f>RTD("rtdtrading.rtdserver",, "BBDC4_B_0", "TRIM")</f>
        <v>#N/A</v>
      </c>
      <c r="AH12" t="e">
        <f>RTD("rtdtrading.rtdserver",, "BBDC4_B_0", "SEMES")</f>
        <v>#N/A</v>
      </c>
      <c r="AI12" t="e">
        <f>RTD("rtdtrading.rtdserver",, "BBDC4_B_0", "VEN")</f>
        <v>#N/A</v>
      </c>
      <c r="AJ12" t="e">
        <f>RTD("rtdtrading.rtdserver",, "BBDC4_B_0", "VAL")</f>
        <v>#N/A</v>
      </c>
      <c r="AK12" t="e">
        <f>RTD("rtdtrading.rtdserver",, "BBDC4_B_0", "CAB")</f>
        <v>#N/A</v>
      </c>
      <c r="AL12" t="e">
        <f>RTD("rtdtrading.rtdserver",, "BBDC4_B_0", "EST")</f>
        <v>#N/A</v>
      </c>
      <c r="AM12" t="e">
        <f>RTD("rtdtrading.rtdserver",, "BBDC4_B_0", "BLACK")</f>
        <v>#N/A</v>
      </c>
      <c r="AN12" t="e">
        <f>RTD("rtdtrading.rtdserver",, "BBDC4_B_0", "IMPVT")</f>
        <v>#N/A</v>
      </c>
      <c r="AO12" t="e">
        <f>RTD("rtdtrading.rtdserver",, "BBDC4_B_0", "DELTA")</f>
        <v>#N/A</v>
      </c>
      <c r="AP12" t="e">
        <f>RTD("rtdtrading.rtdserver",, "BBDC4_B_0", "GAMA")</f>
        <v>#N/A</v>
      </c>
      <c r="AQ12" t="e">
        <f>RTD("rtdtrading.rtdserver",, "BBDC4_B_0", "THETA")</f>
        <v>#N/A</v>
      </c>
      <c r="AR12" t="e">
        <f>RTD("rtdtrading.rtdserver",, "BBDC4_B_0", "RHO")</f>
        <v>#N/A</v>
      </c>
      <c r="AS12" t="e">
        <f>RTD("rtdtrading.rtdserver",, "BBDC4_B_0", "VEGA")</f>
        <v>#N/A</v>
      </c>
      <c r="AT12" t="e">
        <f>RTD("rtdtrading.rtdserver",, "BBDC4_B_0", "VIA")</f>
        <v>#N/A</v>
      </c>
      <c r="AU12" t="e">
        <f>RTD("rtdtrading.rtdserver",, "BBDC4_B_0", "VIB")</f>
        <v>#N/A</v>
      </c>
      <c r="AV12" t="e">
        <f>RTD("rtdtrading.rtdserver",, "BBDC4_B_0", "DOBRAR")</f>
        <v>#N/A</v>
      </c>
      <c r="AW12" t="e">
        <f>RTD("rtdtrading.rtdserver",, "BBDC4_B_0", "VIVH")</f>
        <v>#N/A</v>
      </c>
      <c r="AX12" t="e">
        <f>RTD("rtdtrading.rtdserver",, "BBDC4_B_0", "VINT")</f>
        <v>#N/A</v>
      </c>
      <c r="AY12" t="e">
        <f>RTD("rtdtrading.rtdserver",, "BBDC4_B_0", "VEXT")</f>
        <v>#N/A</v>
      </c>
      <c r="AZ12" t="e">
        <f>RTD("rtdtrading.rtdserver",, "BBDC4_B_0", "101_psicotrade")</f>
        <v>#N/A</v>
      </c>
      <c r="BA12" t="e">
        <f>RTD("rtdtrading.rtdserver",, "BBDC4_B_0", "67")</f>
        <v>#N/A</v>
      </c>
    </row>
    <row r="13" spans="1:53" x14ac:dyDescent="0.35">
      <c r="A13" t="s">
        <v>77</v>
      </c>
      <c r="B13" t="e">
        <f>RTD("rtdtrading.rtdserver",, "RENT3_B_0", "DAT")</f>
        <v>#N/A</v>
      </c>
      <c r="C13" t="e">
        <f>RTD("rtdtrading.rtdserver",, "RENT3_B_0", "HOR")</f>
        <v>#N/A</v>
      </c>
      <c r="D13" t="e">
        <f>RTD("rtdtrading.rtdserver",, "RENT3_B_0", "ULT")</f>
        <v>#N/A</v>
      </c>
      <c r="E13" t="e">
        <f>RTD("rtdtrading.rtdserver",, "RENT3_B_0", "ABE")</f>
        <v>#N/A</v>
      </c>
      <c r="F13" t="e">
        <f>RTD("rtdtrading.rtdserver",, "RENT3_B_0", "MAX")</f>
        <v>#N/A</v>
      </c>
      <c r="G13" t="e">
        <f>RTD("rtdtrading.rtdserver",, "RENT3_B_0", "MIN")</f>
        <v>#N/A</v>
      </c>
      <c r="H13" t="e">
        <f>RTD("rtdtrading.rtdserver",, "RENT3_B_0", "FEC")</f>
        <v>#N/A</v>
      </c>
      <c r="I13" t="e">
        <f>RTD("rtdtrading.rtdserver",, "RENT3_B_0", "PEX")</f>
        <v>#N/A</v>
      </c>
      <c r="J13" t="e">
        <f>RTD("rtdtrading.rtdserver",, "RENT3_B_0", "VAR")</f>
        <v>#N/A</v>
      </c>
      <c r="K13" t="e">
        <f>RTD("rtdtrading.rtdserver",, "RENT3_B_0", "VARPTS")</f>
        <v>#N/A</v>
      </c>
      <c r="L13" t="e">
        <f>RTD("rtdtrading.rtdserver",, "RENT3_B_0", "MED")</f>
        <v>#N/A</v>
      </c>
      <c r="M13" t="s">
        <v>106</v>
      </c>
      <c r="N13" t="e">
        <f>RTD("rtdtrading.rtdserver",, "RENT3_B_0", "NEG")</f>
        <v>#N/A</v>
      </c>
      <c r="O13" t="e">
        <f>RTD("rtdtrading.rtdserver",, "RENT3_B_0", "QUL")</f>
        <v>#N/A</v>
      </c>
      <c r="P13" t="e">
        <f>RTD("rtdtrading.rtdserver",, "RENT3_B_0", "QTT")</f>
        <v>#N/A</v>
      </c>
      <c r="Q13" t="e">
        <f>RTD("rtdtrading.rtdserver",, "RENT3_B_0", "VOL")</f>
        <v>#N/A</v>
      </c>
      <c r="R13" t="e">
        <f>RTD("rtdtrading.rtdserver",, "RENT3_B_0", "OCP")</f>
        <v>#N/A</v>
      </c>
      <c r="S13" t="e">
        <f>RTD("rtdtrading.rtdserver",, "RENT3_B_0", "OVD")</f>
        <v>#N/A</v>
      </c>
      <c r="T13" t="e">
        <f>RTD("rtdtrading.rtdserver",, "RENT3_B_0", "VOC")</f>
        <v>#N/A</v>
      </c>
      <c r="U13" t="e">
        <f>RTD("rtdtrading.rtdserver",, "RENT3_B_0", "VOV")</f>
        <v>#N/A</v>
      </c>
      <c r="V13" t="e">
        <f>RTD("rtdtrading.rtdserver",, "RENT3_B_0", "AJU")</f>
        <v>#N/A</v>
      </c>
      <c r="W13" t="e">
        <f>RTD("rtdtrading.rtdserver",, "RENT3_B_0", "AJA")</f>
        <v>#N/A</v>
      </c>
      <c r="X13" t="e">
        <f>RTD("rtdtrading.rtdserver",, "RENT3_B_0", "PRT")</f>
        <v>#N/A</v>
      </c>
      <c r="Y13" t="e">
        <f>RTD("rtdtrading.rtdserver",, "RENT3_B_0", "QTE")</f>
        <v>#N/A</v>
      </c>
      <c r="Z13" t="e">
        <f>RTD("rtdtrading.rtdserver",, "RENT3_B_0", "VPJ")</f>
        <v>#N/A</v>
      </c>
      <c r="AA13" t="e">
        <f>RTD("rtdtrading.rtdserver",, "RENT3_B_0", "SEM")</f>
        <v>#N/A</v>
      </c>
      <c r="AB13" t="e">
        <f>RTD("rtdtrading.rtdserver",, "RENT3_B_0", "MES")</f>
        <v>#N/A</v>
      </c>
      <c r="AC13" t="e">
        <f>RTD("rtdtrading.rtdserver",, "RENT3_B_0", "3M")</f>
        <v>#N/A</v>
      </c>
      <c r="AD13" t="e">
        <f>RTD("rtdtrading.rtdserver",, "RENT3_B_0", "6M")</f>
        <v>#N/A</v>
      </c>
      <c r="AE13" t="e">
        <f>RTD("rtdtrading.rtdserver",, "RENT3_B_0", "12M")</f>
        <v>#N/A</v>
      </c>
      <c r="AF13" t="e">
        <f>RTD("rtdtrading.rtdserver",, "RENT3_B_0", "ANO")</f>
        <v>#N/A</v>
      </c>
      <c r="AG13" t="e">
        <f>RTD("rtdtrading.rtdserver",, "RENT3_B_0", "TRIM")</f>
        <v>#N/A</v>
      </c>
      <c r="AH13" t="e">
        <f>RTD("rtdtrading.rtdserver",, "RENT3_B_0", "SEMES")</f>
        <v>#N/A</v>
      </c>
      <c r="AI13" t="e">
        <f>RTD("rtdtrading.rtdserver",, "RENT3_B_0", "VEN")</f>
        <v>#N/A</v>
      </c>
      <c r="AJ13" t="e">
        <f>RTD("rtdtrading.rtdserver",, "RENT3_B_0", "VAL")</f>
        <v>#N/A</v>
      </c>
      <c r="AK13" t="e">
        <f>RTD("rtdtrading.rtdserver",, "RENT3_B_0", "CAB")</f>
        <v>#N/A</v>
      </c>
      <c r="AL13" t="e">
        <f>RTD("rtdtrading.rtdserver",, "RENT3_B_0", "EST")</f>
        <v>#N/A</v>
      </c>
      <c r="AM13" t="e">
        <f>RTD("rtdtrading.rtdserver",, "RENT3_B_0", "BLACK")</f>
        <v>#N/A</v>
      </c>
      <c r="AN13" t="e">
        <f>RTD("rtdtrading.rtdserver",, "RENT3_B_0", "IMPVT")</f>
        <v>#N/A</v>
      </c>
      <c r="AO13" t="e">
        <f>RTD("rtdtrading.rtdserver",, "RENT3_B_0", "DELTA")</f>
        <v>#N/A</v>
      </c>
      <c r="AP13" t="e">
        <f>RTD("rtdtrading.rtdserver",, "RENT3_B_0", "GAMA")</f>
        <v>#N/A</v>
      </c>
      <c r="AQ13" t="e">
        <f>RTD("rtdtrading.rtdserver",, "RENT3_B_0", "THETA")</f>
        <v>#N/A</v>
      </c>
      <c r="AR13" t="e">
        <f>RTD("rtdtrading.rtdserver",, "RENT3_B_0", "RHO")</f>
        <v>#N/A</v>
      </c>
      <c r="AS13" t="e">
        <f>RTD("rtdtrading.rtdserver",, "RENT3_B_0", "VEGA")</f>
        <v>#N/A</v>
      </c>
      <c r="AT13" t="e">
        <f>RTD("rtdtrading.rtdserver",, "RENT3_B_0", "VIA")</f>
        <v>#N/A</v>
      </c>
      <c r="AU13" t="e">
        <f>RTD("rtdtrading.rtdserver",, "RENT3_B_0", "VIB")</f>
        <v>#N/A</v>
      </c>
      <c r="AV13" t="e">
        <f>RTD("rtdtrading.rtdserver",, "RENT3_B_0", "DOBRAR")</f>
        <v>#N/A</v>
      </c>
      <c r="AW13" t="e">
        <f>RTD("rtdtrading.rtdserver",, "RENT3_B_0", "VIVH")</f>
        <v>#N/A</v>
      </c>
      <c r="AX13" t="e">
        <f>RTD("rtdtrading.rtdserver",, "RENT3_B_0", "VINT")</f>
        <v>#N/A</v>
      </c>
      <c r="AY13" t="e">
        <f>RTD("rtdtrading.rtdserver",, "RENT3_B_0", "VEXT")</f>
        <v>#N/A</v>
      </c>
      <c r="AZ13" t="e">
        <f>RTD("rtdtrading.rtdserver",, "RENT3_B_0", "101_psicotrade")</f>
        <v>#N/A</v>
      </c>
      <c r="BA13" t="e">
        <f>RTD("rtdtrading.rtdserver",, "RENT3_B_0", "67")</f>
        <v>#N/A</v>
      </c>
    </row>
    <row r="14" spans="1:53" x14ac:dyDescent="0.35">
      <c r="A14" t="s">
        <v>78</v>
      </c>
      <c r="B14" t="e">
        <f>RTD("rtdtrading.rtdserver",, "BRAP4_B_0", "DAT")</f>
        <v>#N/A</v>
      </c>
      <c r="C14" t="e">
        <f>RTD("rtdtrading.rtdserver",, "BRAP4_B_0", "HOR")</f>
        <v>#N/A</v>
      </c>
      <c r="D14" t="e">
        <f>RTD("rtdtrading.rtdserver",, "BRAP4_B_0", "ULT")</f>
        <v>#N/A</v>
      </c>
      <c r="E14" t="e">
        <f>RTD("rtdtrading.rtdserver",, "BRAP4_B_0", "ABE")</f>
        <v>#N/A</v>
      </c>
      <c r="F14" t="e">
        <f>RTD("rtdtrading.rtdserver",, "BRAP4_B_0", "MAX")</f>
        <v>#N/A</v>
      </c>
      <c r="G14" t="e">
        <f>RTD("rtdtrading.rtdserver",, "BRAP4_B_0", "MIN")</f>
        <v>#N/A</v>
      </c>
      <c r="H14" t="e">
        <f>RTD("rtdtrading.rtdserver",, "BRAP4_B_0", "FEC")</f>
        <v>#N/A</v>
      </c>
      <c r="I14" t="e">
        <f>RTD("rtdtrading.rtdserver",, "BRAP4_B_0", "PEX")</f>
        <v>#N/A</v>
      </c>
      <c r="J14" t="e">
        <f>RTD("rtdtrading.rtdserver",, "BRAP4_B_0", "VAR")</f>
        <v>#N/A</v>
      </c>
      <c r="K14" t="e">
        <f>RTD("rtdtrading.rtdserver",, "BRAP4_B_0", "VARPTS")</f>
        <v>#N/A</v>
      </c>
      <c r="L14" t="e">
        <f>RTD("rtdtrading.rtdserver",, "BRAP4_B_0", "MED")</f>
        <v>#N/A</v>
      </c>
      <c r="M14" t="s">
        <v>79</v>
      </c>
      <c r="N14" t="e">
        <f>RTD("rtdtrading.rtdserver",, "BRAP4_B_0", "NEG")</f>
        <v>#N/A</v>
      </c>
      <c r="O14" t="e">
        <f>RTD("rtdtrading.rtdserver",, "BRAP4_B_0", "QUL")</f>
        <v>#N/A</v>
      </c>
      <c r="P14" t="e">
        <f>RTD("rtdtrading.rtdserver",, "BRAP4_B_0", "QTT")</f>
        <v>#N/A</v>
      </c>
      <c r="Q14" t="e">
        <f>RTD("rtdtrading.rtdserver",, "BRAP4_B_0", "VOL")</f>
        <v>#N/A</v>
      </c>
      <c r="R14" t="e">
        <f>RTD("rtdtrading.rtdserver",, "BRAP4_B_0", "OCP")</f>
        <v>#N/A</v>
      </c>
      <c r="S14" t="e">
        <f>RTD("rtdtrading.rtdserver",, "BRAP4_B_0", "OVD")</f>
        <v>#N/A</v>
      </c>
      <c r="T14" t="e">
        <f>RTD("rtdtrading.rtdserver",, "BRAP4_B_0", "VOC")</f>
        <v>#N/A</v>
      </c>
      <c r="U14" t="e">
        <f>RTD("rtdtrading.rtdserver",, "BRAP4_B_0", "VOV")</f>
        <v>#N/A</v>
      </c>
      <c r="V14" t="e">
        <f>RTD("rtdtrading.rtdserver",, "BRAP4_B_0", "AJU")</f>
        <v>#N/A</v>
      </c>
      <c r="W14" t="e">
        <f>RTD("rtdtrading.rtdserver",, "BRAP4_B_0", "AJA")</f>
        <v>#N/A</v>
      </c>
      <c r="X14" t="e">
        <f>RTD("rtdtrading.rtdserver",, "BRAP4_B_0", "PRT")</f>
        <v>#N/A</v>
      </c>
      <c r="Y14" t="e">
        <f>RTD("rtdtrading.rtdserver",, "BRAP4_B_0", "QTE")</f>
        <v>#N/A</v>
      </c>
      <c r="Z14" t="e">
        <f>RTD("rtdtrading.rtdserver",, "BRAP4_B_0", "VPJ")</f>
        <v>#N/A</v>
      </c>
      <c r="AA14" t="e">
        <f>RTD("rtdtrading.rtdserver",, "BRAP4_B_0", "SEM")</f>
        <v>#N/A</v>
      </c>
      <c r="AB14" t="e">
        <f>RTD("rtdtrading.rtdserver",, "BRAP4_B_0", "MES")</f>
        <v>#N/A</v>
      </c>
      <c r="AC14" t="e">
        <f>RTD("rtdtrading.rtdserver",, "BRAP4_B_0", "3M")</f>
        <v>#N/A</v>
      </c>
      <c r="AD14" t="e">
        <f>RTD("rtdtrading.rtdserver",, "BRAP4_B_0", "6M")</f>
        <v>#N/A</v>
      </c>
      <c r="AE14" t="e">
        <f>RTD("rtdtrading.rtdserver",, "BRAP4_B_0", "12M")</f>
        <v>#N/A</v>
      </c>
      <c r="AF14" t="e">
        <f>RTD("rtdtrading.rtdserver",, "BRAP4_B_0", "ANO")</f>
        <v>#N/A</v>
      </c>
      <c r="AG14" t="e">
        <f>RTD("rtdtrading.rtdserver",, "BRAP4_B_0", "TRIM")</f>
        <v>#N/A</v>
      </c>
      <c r="AH14" t="e">
        <f>RTD("rtdtrading.rtdserver",, "BRAP4_B_0", "SEMES")</f>
        <v>#N/A</v>
      </c>
      <c r="AI14" t="e">
        <f>RTD("rtdtrading.rtdserver",, "BRAP4_B_0", "VEN")</f>
        <v>#N/A</v>
      </c>
      <c r="AJ14" t="e">
        <f>RTD("rtdtrading.rtdserver",, "BRAP4_B_0", "VAL")</f>
        <v>#N/A</v>
      </c>
      <c r="AK14" t="e">
        <f>RTD("rtdtrading.rtdserver",, "BRAP4_B_0", "CAB")</f>
        <v>#N/A</v>
      </c>
      <c r="AL14" t="e">
        <f>RTD("rtdtrading.rtdserver",, "BRAP4_B_0", "EST")</f>
        <v>#N/A</v>
      </c>
      <c r="AM14" t="e">
        <f>RTD("rtdtrading.rtdserver",, "BRAP4_B_0", "BLACK")</f>
        <v>#N/A</v>
      </c>
      <c r="AN14" t="e">
        <f>RTD("rtdtrading.rtdserver",, "BRAP4_B_0", "IMPVT")</f>
        <v>#N/A</v>
      </c>
      <c r="AO14" t="e">
        <f>RTD("rtdtrading.rtdserver",, "BRAP4_B_0", "DELTA")</f>
        <v>#N/A</v>
      </c>
      <c r="AP14" t="e">
        <f>RTD("rtdtrading.rtdserver",, "BRAP4_B_0", "GAMA")</f>
        <v>#N/A</v>
      </c>
      <c r="AQ14" t="e">
        <f>RTD("rtdtrading.rtdserver",, "BRAP4_B_0", "THETA")</f>
        <v>#N/A</v>
      </c>
      <c r="AR14" t="e">
        <f>RTD("rtdtrading.rtdserver",, "BRAP4_B_0", "RHO")</f>
        <v>#N/A</v>
      </c>
      <c r="AS14" t="e">
        <f>RTD("rtdtrading.rtdserver",, "BRAP4_B_0", "VEGA")</f>
        <v>#N/A</v>
      </c>
      <c r="AT14" t="e">
        <f>RTD("rtdtrading.rtdserver",, "BRAP4_B_0", "VIA")</f>
        <v>#N/A</v>
      </c>
      <c r="AU14" t="e">
        <f>RTD("rtdtrading.rtdserver",, "BRAP4_B_0", "VIB")</f>
        <v>#N/A</v>
      </c>
      <c r="AV14" t="e">
        <f>RTD("rtdtrading.rtdserver",, "BRAP4_B_0", "DOBRAR")</f>
        <v>#N/A</v>
      </c>
      <c r="AW14" t="e">
        <f>RTD("rtdtrading.rtdserver",, "BRAP4_B_0", "VIVH")</f>
        <v>#N/A</v>
      </c>
      <c r="AX14" t="e">
        <f>RTD("rtdtrading.rtdserver",, "BRAP4_B_0", "VINT")</f>
        <v>#N/A</v>
      </c>
      <c r="AY14" t="e">
        <f>RTD("rtdtrading.rtdserver",, "BRAP4_B_0", "VEXT")</f>
        <v>#N/A</v>
      </c>
      <c r="AZ14" t="e">
        <f>RTD("rtdtrading.rtdserver",, "BRAP4_B_0", "101_psicotrade")</f>
        <v>#N/A</v>
      </c>
      <c r="BA14" t="e">
        <f>RTD("rtdtrading.rtdserver",, "BRAP4_B_0", "67")</f>
        <v>#N/A</v>
      </c>
    </row>
    <row r="15" spans="1:53" x14ac:dyDescent="0.35">
      <c r="A15" t="s">
        <v>80</v>
      </c>
      <c r="B15" t="e">
        <f>RTD("rtdtrading.rtdserver",, "BBAS3_B_0", "DAT")</f>
        <v>#N/A</v>
      </c>
      <c r="C15" t="e">
        <f>RTD("rtdtrading.rtdserver",, "BBAS3_B_0", "HOR")</f>
        <v>#N/A</v>
      </c>
      <c r="D15" t="e">
        <f>RTD("rtdtrading.rtdserver",, "BBAS3_B_0", "ULT")</f>
        <v>#N/A</v>
      </c>
      <c r="E15" t="e">
        <f>RTD("rtdtrading.rtdserver",, "BBAS3_B_0", "ABE")</f>
        <v>#N/A</v>
      </c>
      <c r="F15" t="e">
        <f>RTD("rtdtrading.rtdserver",, "BBAS3_B_0", "MAX")</f>
        <v>#N/A</v>
      </c>
      <c r="G15" t="e">
        <f>RTD("rtdtrading.rtdserver",, "BBAS3_B_0", "MIN")</f>
        <v>#N/A</v>
      </c>
      <c r="H15" t="e">
        <f>RTD("rtdtrading.rtdserver",, "BBAS3_B_0", "FEC")</f>
        <v>#N/A</v>
      </c>
      <c r="I15" t="e">
        <f>RTD("rtdtrading.rtdserver",, "BBAS3_B_0", "PEX")</f>
        <v>#N/A</v>
      </c>
      <c r="J15" t="e">
        <f>RTD("rtdtrading.rtdserver",, "BBAS3_B_0", "VAR")</f>
        <v>#N/A</v>
      </c>
      <c r="K15" t="e">
        <f>RTD("rtdtrading.rtdserver",, "BBAS3_B_0", "VARPTS")</f>
        <v>#N/A</v>
      </c>
      <c r="L15" t="e">
        <f>RTD("rtdtrading.rtdserver",, "BBAS3_B_0", "MED")</f>
        <v>#N/A</v>
      </c>
      <c r="M15" t="s">
        <v>103</v>
      </c>
      <c r="N15" t="e">
        <f>RTD("rtdtrading.rtdserver",, "BBAS3_B_0", "NEG")</f>
        <v>#N/A</v>
      </c>
      <c r="O15" t="e">
        <f>RTD("rtdtrading.rtdserver",, "BBAS3_B_0", "QUL")</f>
        <v>#N/A</v>
      </c>
      <c r="P15" t="e">
        <f>RTD("rtdtrading.rtdserver",, "BBAS3_B_0", "QTT")</f>
        <v>#N/A</v>
      </c>
      <c r="Q15" t="e">
        <f>RTD("rtdtrading.rtdserver",, "BBAS3_B_0", "VOL")</f>
        <v>#N/A</v>
      </c>
      <c r="R15" t="e">
        <f>RTD("rtdtrading.rtdserver",, "BBAS3_B_0", "OCP")</f>
        <v>#N/A</v>
      </c>
      <c r="S15" t="e">
        <f>RTD("rtdtrading.rtdserver",, "BBAS3_B_0", "OVD")</f>
        <v>#N/A</v>
      </c>
      <c r="T15" t="e">
        <f>RTD("rtdtrading.rtdserver",, "BBAS3_B_0", "VOC")</f>
        <v>#N/A</v>
      </c>
      <c r="U15" t="e">
        <f>RTD("rtdtrading.rtdserver",, "BBAS3_B_0", "VOV")</f>
        <v>#N/A</v>
      </c>
      <c r="V15" t="e">
        <f>RTD("rtdtrading.rtdserver",, "BBAS3_B_0", "AJU")</f>
        <v>#N/A</v>
      </c>
      <c r="W15" t="e">
        <f>RTD("rtdtrading.rtdserver",, "BBAS3_B_0", "AJA")</f>
        <v>#N/A</v>
      </c>
      <c r="X15" t="e">
        <f>RTD("rtdtrading.rtdserver",, "BBAS3_B_0", "PRT")</f>
        <v>#N/A</v>
      </c>
      <c r="Y15" t="e">
        <f>RTD("rtdtrading.rtdserver",, "BBAS3_B_0", "QTE")</f>
        <v>#N/A</v>
      </c>
      <c r="Z15" t="e">
        <f>RTD("rtdtrading.rtdserver",, "BBAS3_B_0", "VPJ")</f>
        <v>#N/A</v>
      </c>
      <c r="AA15" t="e">
        <f>RTD("rtdtrading.rtdserver",, "BBAS3_B_0", "SEM")</f>
        <v>#N/A</v>
      </c>
      <c r="AB15" t="e">
        <f>RTD("rtdtrading.rtdserver",, "BBAS3_B_0", "MES")</f>
        <v>#N/A</v>
      </c>
      <c r="AC15" t="e">
        <f>RTD("rtdtrading.rtdserver",, "BBAS3_B_0", "3M")</f>
        <v>#N/A</v>
      </c>
      <c r="AD15" t="e">
        <f>RTD("rtdtrading.rtdserver",, "BBAS3_B_0", "6M")</f>
        <v>#N/A</v>
      </c>
      <c r="AE15" t="e">
        <f>RTD("rtdtrading.rtdserver",, "BBAS3_B_0", "12M")</f>
        <v>#N/A</v>
      </c>
      <c r="AF15" t="e">
        <f>RTD("rtdtrading.rtdserver",, "BBAS3_B_0", "ANO")</f>
        <v>#N/A</v>
      </c>
      <c r="AG15" t="e">
        <f>RTD("rtdtrading.rtdserver",, "BBAS3_B_0", "TRIM")</f>
        <v>#N/A</v>
      </c>
      <c r="AH15" t="e">
        <f>RTD("rtdtrading.rtdserver",, "BBAS3_B_0", "SEMES")</f>
        <v>#N/A</v>
      </c>
      <c r="AI15" t="e">
        <f>RTD("rtdtrading.rtdserver",, "BBAS3_B_0", "VEN")</f>
        <v>#N/A</v>
      </c>
      <c r="AJ15" t="e">
        <f>RTD("rtdtrading.rtdserver",, "BBAS3_B_0", "VAL")</f>
        <v>#N/A</v>
      </c>
      <c r="AK15" t="e">
        <f>RTD("rtdtrading.rtdserver",, "BBAS3_B_0", "CAB")</f>
        <v>#N/A</v>
      </c>
      <c r="AL15" t="e">
        <f>RTD("rtdtrading.rtdserver",, "BBAS3_B_0", "EST")</f>
        <v>#N/A</v>
      </c>
      <c r="AM15" t="e">
        <f>RTD("rtdtrading.rtdserver",, "BBAS3_B_0", "BLACK")</f>
        <v>#N/A</v>
      </c>
      <c r="AN15" t="e">
        <f>RTD("rtdtrading.rtdserver",, "BBAS3_B_0", "IMPVT")</f>
        <v>#N/A</v>
      </c>
      <c r="AO15" t="e">
        <f>RTD("rtdtrading.rtdserver",, "BBAS3_B_0", "DELTA")</f>
        <v>#N/A</v>
      </c>
      <c r="AP15" t="e">
        <f>RTD("rtdtrading.rtdserver",, "BBAS3_B_0", "GAMA")</f>
        <v>#N/A</v>
      </c>
      <c r="AQ15" t="e">
        <f>RTD("rtdtrading.rtdserver",, "BBAS3_B_0", "THETA")</f>
        <v>#N/A</v>
      </c>
      <c r="AR15" t="e">
        <f>RTD("rtdtrading.rtdserver",, "BBAS3_B_0", "RHO")</f>
        <v>#N/A</v>
      </c>
      <c r="AS15" t="e">
        <f>RTD("rtdtrading.rtdserver",, "BBAS3_B_0", "VEGA")</f>
        <v>#N/A</v>
      </c>
      <c r="AT15" t="e">
        <f>RTD("rtdtrading.rtdserver",, "BBAS3_B_0", "VIA")</f>
        <v>#N/A</v>
      </c>
      <c r="AU15" t="e">
        <f>RTD("rtdtrading.rtdserver",, "BBAS3_B_0", "VIB")</f>
        <v>#N/A</v>
      </c>
      <c r="AV15" t="e">
        <f>RTD("rtdtrading.rtdserver",, "BBAS3_B_0", "DOBRAR")</f>
        <v>#N/A</v>
      </c>
      <c r="AW15" t="e">
        <f>RTD("rtdtrading.rtdserver",, "BBAS3_B_0", "VIVH")</f>
        <v>#N/A</v>
      </c>
      <c r="AX15" t="e">
        <f>RTD("rtdtrading.rtdserver",, "BBAS3_B_0", "VINT")</f>
        <v>#N/A</v>
      </c>
      <c r="AY15" t="e">
        <f>RTD("rtdtrading.rtdserver",, "BBAS3_B_0", "VEXT")</f>
        <v>#N/A</v>
      </c>
      <c r="AZ15" t="e">
        <f>RTD("rtdtrading.rtdserver",, "BBAS3_B_0", "101_psicotrade")</f>
        <v>#N/A</v>
      </c>
      <c r="BA15" t="e">
        <f>RTD("rtdtrading.rtdserver",, "BBAS3_B_0", "67")</f>
        <v>#N/A</v>
      </c>
    </row>
    <row r="16" spans="1:53" x14ac:dyDescent="0.35">
      <c r="A16" t="s">
        <v>81</v>
      </c>
      <c r="B16" t="e">
        <f>RTD("rtdtrading.rtdserver",, "VALE3_B_0", "DAT")</f>
        <v>#N/A</v>
      </c>
      <c r="C16" t="e">
        <f>RTD("rtdtrading.rtdserver",, "VALE3_B_0", "HOR")</f>
        <v>#N/A</v>
      </c>
      <c r="D16" t="e">
        <f>RTD("rtdtrading.rtdserver",, "VALE3_B_0", "ULT")</f>
        <v>#N/A</v>
      </c>
      <c r="E16" t="e">
        <f>RTD("rtdtrading.rtdserver",, "VALE3_B_0", "ABE")</f>
        <v>#N/A</v>
      </c>
      <c r="F16" t="e">
        <f>RTD("rtdtrading.rtdserver",, "VALE3_B_0", "MAX")</f>
        <v>#N/A</v>
      </c>
      <c r="G16" t="e">
        <f>RTD("rtdtrading.rtdserver",, "VALE3_B_0", "MIN")</f>
        <v>#N/A</v>
      </c>
      <c r="H16" t="e">
        <f>RTD("rtdtrading.rtdserver",, "VALE3_B_0", "FEC")</f>
        <v>#N/A</v>
      </c>
      <c r="I16" t="e">
        <f>RTD("rtdtrading.rtdserver",, "VALE3_B_0", "PEX")</f>
        <v>#N/A</v>
      </c>
      <c r="J16" t="e">
        <f>RTD("rtdtrading.rtdserver",, "VALE3_B_0", "VAR")</f>
        <v>#N/A</v>
      </c>
      <c r="K16" t="e">
        <f>RTD("rtdtrading.rtdserver",, "VALE3_B_0", "VARPTS")</f>
        <v>#N/A</v>
      </c>
      <c r="L16" t="e">
        <f>RTD("rtdtrading.rtdserver",, "VALE3_B_0", "MED")</f>
        <v>#N/A</v>
      </c>
      <c r="M16" t="s">
        <v>107</v>
      </c>
      <c r="N16" t="e">
        <f>RTD("rtdtrading.rtdserver",, "VALE3_B_0", "NEG")</f>
        <v>#N/A</v>
      </c>
      <c r="O16" t="e">
        <f>RTD("rtdtrading.rtdserver",, "VALE3_B_0", "QUL")</f>
        <v>#N/A</v>
      </c>
      <c r="P16" t="e">
        <f>RTD("rtdtrading.rtdserver",, "VALE3_B_0", "QTT")</f>
        <v>#N/A</v>
      </c>
      <c r="Q16" t="e">
        <f>RTD("rtdtrading.rtdserver",, "VALE3_B_0", "VOL")</f>
        <v>#N/A</v>
      </c>
      <c r="R16" t="e">
        <f>RTD("rtdtrading.rtdserver",, "VALE3_B_0", "OCP")</f>
        <v>#N/A</v>
      </c>
      <c r="S16" t="e">
        <f>RTD("rtdtrading.rtdserver",, "VALE3_B_0", "OVD")</f>
        <v>#N/A</v>
      </c>
      <c r="T16" t="e">
        <f>RTD("rtdtrading.rtdserver",, "VALE3_B_0", "VOC")</f>
        <v>#N/A</v>
      </c>
      <c r="U16" t="e">
        <f>RTD("rtdtrading.rtdserver",, "VALE3_B_0", "VOV")</f>
        <v>#N/A</v>
      </c>
      <c r="V16" t="e">
        <f>RTD("rtdtrading.rtdserver",, "VALE3_B_0", "AJU")</f>
        <v>#N/A</v>
      </c>
      <c r="W16" t="e">
        <f>RTD("rtdtrading.rtdserver",, "VALE3_B_0", "AJA")</f>
        <v>#N/A</v>
      </c>
      <c r="X16" t="e">
        <f>RTD("rtdtrading.rtdserver",, "VALE3_B_0", "PRT")</f>
        <v>#N/A</v>
      </c>
      <c r="Y16" t="e">
        <f>RTD("rtdtrading.rtdserver",, "VALE3_B_0", "QTE")</f>
        <v>#N/A</v>
      </c>
      <c r="Z16" t="e">
        <f>RTD("rtdtrading.rtdserver",, "VALE3_B_0", "VPJ")</f>
        <v>#N/A</v>
      </c>
      <c r="AA16" t="e">
        <f>RTD("rtdtrading.rtdserver",, "VALE3_B_0", "SEM")</f>
        <v>#N/A</v>
      </c>
      <c r="AB16" t="e">
        <f>RTD("rtdtrading.rtdserver",, "VALE3_B_0", "MES")</f>
        <v>#N/A</v>
      </c>
      <c r="AC16" t="e">
        <f>RTD("rtdtrading.rtdserver",, "VALE3_B_0", "3M")</f>
        <v>#N/A</v>
      </c>
      <c r="AD16" t="e">
        <f>RTD("rtdtrading.rtdserver",, "VALE3_B_0", "6M")</f>
        <v>#N/A</v>
      </c>
      <c r="AE16" t="e">
        <f>RTD("rtdtrading.rtdserver",, "VALE3_B_0", "12M")</f>
        <v>#N/A</v>
      </c>
      <c r="AF16" t="e">
        <f>RTD("rtdtrading.rtdserver",, "VALE3_B_0", "ANO")</f>
        <v>#N/A</v>
      </c>
      <c r="AG16" t="e">
        <f>RTD("rtdtrading.rtdserver",, "VALE3_B_0", "TRIM")</f>
        <v>#N/A</v>
      </c>
      <c r="AH16" t="e">
        <f>RTD("rtdtrading.rtdserver",, "VALE3_B_0", "SEMES")</f>
        <v>#N/A</v>
      </c>
      <c r="AI16" t="e">
        <f>RTD("rtdtrading.rtdserver",, "VALE3_B_0", "VEN")</f>
        <v>#N/A</v>
      </c>
      <c r="AJ16" t="e">
        <f>RTD("rtdtrading.rtdserver",, "VALE3_B_0", "VAL")</f>
        <v>#N/A</v>
      </c>
      <c r="AK16" t="e">
        <f>RTD("rtdtrading.rtdserver",, "VALE3_B_0", "CAB")</f>
        <v>#N/A</v>
      </c>
      <c r="AL16" t="e">
        <f>RTD("rtdtrading.rtdserver",, "VALE3_B_0", "EST")</f>
        <v>#N/A</v>
      </c>
      <c r="AM16" t="e">
        <f>RTD("rtdtrading.rtdserver",, "VALE3_B_0", "BLACK")</f>
        <v>#N/A</v>
      </c>
      <c r="AN16" t="e">
        <f>RTD("rtdtrading.rtdserver",, "VALE3_B_0", "IMPVT")</f>
        <v>#N/A</v>
      </c>
      <c r="AO16" t="e">
        <f>RTD("rtdtrading.rtdserver",, "VALE3_B_0", "DELTA")</f>
        <v>#N/A</v>
      </c>
      <c r="AP16" t="e">
        <f>RTD("rtdtrading.rtdserver",, "VALE3_B_0", "GAMA")</f>
        <v>#N/A</v>
      </c>
      <c r="AQ16" t="e">
        <f>RTD("rtdtrading.rtdserver",, "VALE3_B_0", "THETA")</f>
        <v>#N/A</v>
      </c>
      <c r="AR16" t="e">
        <f>RTD("rtdtrading.rtdserver",, "VALE3_B_0", "RHO")</f>
        <v>#N/A</v>
      </c>
      <c r="AS16" t="e">
        <f>RTD("rtdtrading.rtdserver",, "VALE3_B_0", "VEGA")</f>
        <v>#N/A</v>
      </c>
      <c r="AT16" t="e">
        <f>RTD("rtdtrading.rtdserver",, "VALE3_B_0", "VIA")</f>
        <v>#N/A</v>
      </c>
      <c r="AU16" t="e">
        <f>RTD("rtdtrading.rtdserver",, "VALE3_B_0", "VIB")</f>
        <v>#N/A</v>
      </c>
      <c r="AV16" t="e">
        <f>RTD("rtdtrading.rtdserver",, "VALE3_B_0", "DOBRAR")</f>
        <v>#N/A</v>
      </c>
      <c r="AW16" t="e">
        <f>RTD("rtdtrading.rtdserver",, "VALE3_B_0", "VIVH")</f>
        <v>#N/A</v>
      </c>
      <c r="AX16" t="e">
        <f>RTD("rtdtrading.rtdserver",, "VALE3_B_0", "VINT")</f>
        <v>#N/A</v>
      </c>
      <c r="AY16" t="e">
        <f>RTD("rtdtrading.rtdserver",, "VALE3_B_0", "VEXT")</f>
        <v>#N/A</v>
      </c>
      <c r="AZ16" t="e">
        <f>RTD("rtdtrading.rtdserver",, "VALE3_B_0", "101_psicotrade")</f>
        <v>#N/A</v>
      </c>
      <c r="BA16" t="e">
        <f>RTD("rtdtrading.rtdserver",, "VALE3_B_0", "67")</f>
        <v>#N/A</v>
      </c>
    </row>
    <row r="17" spans="1:53" x14ac:dyDescent="0.35">
      <c r="A17" t="s">
        <v>82</v>
      </c>
      <c r="B17" t="e">
        <f>RTD("rtdtrading.rtdserver",, "MGLU3_B_0", "DAT")</f>
        <v>#N/A</v>
      </c>
      <c r="C17" t="e">
        <f>RTD("rtdtrading.rtdserver",, "MGLU3_B_0", "HOR")</f>
        <v>#N/A</v>
      </c>
      <c r="D17" t="e">
        <f>RTD("rtdtrading.rtdserver",, "MGLU3_B_0", "ULT")</f>
        <v>#N/A</v>
      </c>
      <c r="E17" t="e">
        <f>RTD("rtdtrading.rtdserver",, "MGLU3_B_0", "ABE")</f>
        <v>#N/A</v>
      </c>
      <c r="F17" t="e">
        <f>RTD("rtdtrading.rtdserver",, "MGLU3_B_0", "MAX")</f>
        <v>#N/A</v>
      </c>
      <c r="G17" t="e">
        <f>RTD("rtdtrading.rtdserver",, "MGLU3_B_0", "MIN")</f>
        <v>#N/A</v>
      </c>
      <c r="H17" t="e">
        <f>RTD("rtdtrading.rtdserver",, "MGLU3_B_0", "FEC")</f>
        <v>#N/A</v>
      </c>
      <c r="I17" t="e">
        <f>RTD("rtdtrading.rtdserver",, "MGLU3_B_0", "PEX")</f>
        <v>#N/A</v>
      </c>
      <c r="J17" t="e">
        <f>RTD("rtdtrading.rtdserver",, "MGLU3_B_0", "VAR")</f>
        <v>#N/A</v>
      </c>
      <c r="K17" t="e">
        <f>RTD("rtdtrading.rtdserver",, "MGLU3_B_0", "VARPTS")</f>
        <v>#N/A</v>
      </c>
      <c r="L17" t="e">
        <f>RTD("rtdtrading.rtdserver",, "MGLU3_B_0", "MED")</f>
        <v>#N/A</v>
      </c>
      <c r="M17" t="s">
        <v>83</v>
      </c>
      <c r="N17" t="e">
        <f>RTD("rtdtrading.rtdserver",, "MGLU3_B_0", "NEG")</f>
        <v>#N/A</v>
      </c>
      <c r="O17" t="e">
        <f>RTD("rtdtrading.rtdserver",, "MGLU3_B_0", "QUL")</f>
        <v>#N/A</v>
      </c>
      <c r="P17" t="e">
        <f>RTD("rtdtrading.rtdserver",, "MGLU3_B_0", "QTT")</f>
        <v>#N/A</v>
      </c>
      <c r="Q17" t="e">
        <f>RTD("rtdtrading.rtdserver",, "MGLU3_B_0", "VOL")</f>
        <v>#N/A</v>
      </c>
      <c r="R17" t="e">
        <f>RTD("rtdtrading.rtdserver",, "MGLU3_B_0", "OCP")</f>
        <v>#N/A</v>
      </c>
      <c r="S17" t="e">
        <f>RTD("rtdtrading.rtdserver",, "MGLU3_B_0", "OVD")</f>
        <v>#N/A</v>
      </c>
      <c r="T17" t="e">
        <f>RTD("rtdtrading.rtdserver",, "MGLU3_B_0", "VOC")</f>
        <v>#N/A</v>
      </c>
      <c r="U17" t="e">
        <f>RTD("rtdtrading.rtdserver",, "MGLU3_B_0", "VOV")</f>
        <v>#N/A</v>
      </c>
      <c r="V17" t="e">
        <f>RTD("rtdtrading.rtdserver",, "MGLU3_B_0", "AJU")</f>
        <v>#N/A</v>
      </c>
      <c r="W17" t="e">
        <f>RTD("rtdtrading.rtdserver",, "MGLU3_B_0", "AJA")</f>
        <v>#N/A</v>
      </c>
      <c r="X17" t="e">
        <f>RTD("rtdtrading.rtdserver",, "MGLU3_B_0", "PRT")</f>
        <v>#N/A</v>
      </c>
      <c r="Y17" t="e">
        <f>RTD("rtdtrading.rtdserver",, "MGLU3_B_0", "QTE")</f>
        <v>#N/A</v>
      </c>
      <c r="Z17" t="e">
        <f>RTD("rtdtrading.rtdserver",, "MGLU3_B_0", "VPJ")</f>
        <v>#N/A</v>
      </c>
      <c r="AA17" t="e">
        <f>RTD("rtdtrading.rtdserver",, "MGLU3_B_0", "SEM")</f>
        <v>#N/A</v>
      </c>
      <c r="AB17" t="e">
        <f>RTD("rtdtrading.rtdserver",, "MGLU3_B_0", "MES")</f>
        <v>#N/A</v>
      </c>
      <c r="AC17" t="e">
        <f>RTD("rtdtrading.rtdserver",, "MGLU3_B_0", "3M")</f>
        <v>#N/A</v>
      </c>
      <c r="AD17" t="e">
        <f>RTD("rtdtrading.rtdserver",, "MGLU3_B_0", "6M")</f>
        <v>#N/A</v>
      </c>
      <c r="AE17" t="e">
        <f>RTD("rtdtrading.rtdserver",, "MGLU3_B_0", "12M")</f>
        <v>#N/A</v>
      </c>
      <c r="AF17" t="e">
        <f>RTD("rtdtrading.rtdserver",, "MGLU3_B_0", "ANO")</f>
        <v>#N/A</v>
      </c>
      <c r="AG17" t="e">
        <f>RTD("rtdtrading.rtdserver",, "MGLU3_B_0", "TRIM")</f>
        <v>#N/A</v>
      </c>
      <c r="AH17" t="e">
        <f>RTD("rtdtrading.rtdserver",, "MGLU3_B_0", "SEMES")</f>
        <v>#N/A</v>
      </c>
      <c r="AI17" t="e">
        <f>RTD("rtdtrading.rtdserver",, "MGLU3_B_0", "VEN")</f>
        <v>#N/A</v>
      </c>
      <c r="AJ17" t="e">
        <f>RTD("rtdtrading.rtdserver",, "MGLU3_B_0", "VAL")</f>
        <v>#N/A</v>
      </c>
      <c r="AK17" t="e">
        <f>RTD("rtdtrading.rtdserver",, "MGLU3_B_0", "CAB")</f>
        <v>#N/A</v>
      </c>
      <c r="AL17" t="e">
        <f>RTD("rtdtrading.rtdserver",, "MGLU3_B_0", "EST")</f>
        <v>#N/A</v>
      </c>
      <c r="AM17" t="e">
        <f>RTD("rtdtrading.rtdserver",, "MGLU3_B_0", "BLACK")</f>
        <v>#N/A</v>
      </c>
      <c r="AN17" t="e">
        <f>RTD("rtdtrading.rtdserver",, "MGLU3_B_0", "IMPVT")</f>
        <v>#N/A</v>
      </c>
      <c r="AO17" t="e">
        <f>RTD("rtdtrading.rtdserver",, "MGLU3_B_0", "DELTA")</f>
        <v>#N/A</v>
      </c>
      <c r="AP17" t="e">
        <f>RTD("rtdtrading.rtdserver",, "MGLU3_B_0", "GAMA")</f>
        <v>#N/A</v>
      </c>
      <c r="AQ17" t="e">
        <f>RTD("rtdtrading.rtdserver",, "MGLU3_B_0", "THETA")</f>
        <v>#N/A</v>
      </c>
      <c r="AR17" t="e">
        <f>RTD("rtdtrading.rtdserver",, "MGLU3_B_0", "RHO")</f>
        <v>#N/A</v>
      </c>
      <c r="AS17" t="e">
        <f>RTD("rtdtrading.rtdserver",, "MGLU3_B_0", "VEGA")</f>
        <v>#N/A</v>
      </c>
      <c r="AT17" t="e">
        <f>RTD("rtdtrading.rtdserver",, "MGLU3_B_0", "VIA")</f>
        <v>#N/A</v>
      </c>
      <c r="AU17" t="e">
        <f>RTD("rtdtrading.rtdserver",, "MGLU3_B_0", "VIB")</f>
        <v>#N/A</v>
      </c>
      <c r="AV17" t="e">
        <f>RTD("rtdtrading.rtdserver",, "MGLU3_B_0", "DOBRAR")</f>
        <v>#N/A</v>
      </c>
      <c r="AW17" t="e">
        <f>RTD("rtdtrading.rtdserver",, "MGLU3_B_0", "VIVH")</f>
        <v>#N/A</v>
      </c>
      <c r="AX17" t="e">
        <f>RTD("rtdtrading.rtdserver",, "MGLU3_B_0", "VINT")</f>
        <v>#N/A</v>
      </c>
      <c r="AY17" t="e">
        <f>RTD("rtdtrading.rtdserver",, "MGLU3_B_0", "VEXT")</f>
        <v>#N/A</v>
      </c>
      <c r="AZ17" t="e">
        <f>RTD("rtdtrading.rtdserver",, "MGLU3_B_0", "101_psicotrade")</f>
        <v>#N/A</v>
      </c>
      <c r="BA17" t="e">
        <f>RTD("rtdtrading.rtdserver",, "MGLU3_B_0", "67")</f>
        <v>#N/A</v>
      </c>
    </row>
    <row r="18" spans="1:53" x14ac:dyDescent="0.35">
      <c r="A18" t="s">
        <v>84</v>
      </c>
      <c r="B18" t="e">
        <f>RTD("rtdtrading.rtdserver",, "ITUB4_B_0", "DAT")</f>
        <v>#N/A</v>
      </c>
      <c r="C18" t="e">
        <f>RTD("rtdtrading.rtdserver",, "ITUB4_B_0", "HOR")</f>
        <v>#N/A</v>
      </c>
      <c r="D18" t="e">
        <f>RTD("rtdtrading.rtdserver",, "ITUB4_B_0", "ULT")</f>
        <v>#N/A</v>
      </c>
      <c r="E18" t="e">
        <f>RTD("rtdtrading.rtdserver",, "ITUB4_B_0", "ABE")</f>
        <v>#N/A</v>
      </c>
      <c r="F18" t="e">
        <f>RTD("rtdtrading.rtdserver",, "ITUB4_B_0", "MAX")</f>
        <v>#N/A</v>
      </c>
      <c r="G18" t="e">
        <f>RTD("rtdtrading.rtdserver",, "ITUB4_B_0", "MIN")</f>
        <v>#N/A</v>
      </c>
      <c r="H18" t="e">
        <f>RTD("rtdtrading.rtdserver",, "ITUB4_B_0", "FEC")</f>
        <v>#N/A</v>
      </c>
      <c r="I18" t="e">
        <f>RTD("rtdtrading.rtdserver",, "ITUB4_B_0", "PEX")</f>
        <v>#N/A</v>
      </c>
      <c r="J18" t="e">
        <f>RTD("rtdtrading.rtdserver",, "ITUB4_B_0", "VAR")</f>
        <v>#N/A</v>
      </c>
      <c r="K18" t="e">
        <f>RTD("rtdtrading.rtdserver",, "ITUB4_B_0", "VARPTS")</f>
        <v>#N/A</v>
      </c>
      <c r="L18" t="e">
        <f>RTD("rtdtrading.rtdserver",, "ITUB4_B_0", "MED")</f>
        <v>#N/A</v>
      </c>
      <c r="M18" t="s">
        <v>108</v>
      </c>
      <c r="N18" t="e">
        <f>RTD("rtdtrading.rtdserver",, "ITUB4_B_0", "NEG")</f>
        <v>#N/A</v>
      </c>
      <c r="O18" t="e">
        <f>RTD("rtdtrading.rtdserver",, "ITUB4_B_0", "QUL")</f>
        <v>#N/A</v>
      </c>
      <c r="P18" t="e">
        <f>RTD("rtdtrading.rtdserver",, "ITUB4_B_0", "QTT")</f>
        <v>#N/A</v>
      </c>
      <c r="Q18" t="e">
        <f>RTD("rtdtrading.rtdserver",, "ITUB4_B_0", "VOL")</f>
        <v>#N/A</v>
      </c>
      <c r="R18" t="e">
        <f>RTD("rtdtrading.rtdserver",, "ITUB4_B_0", "OCP")</f>
        <v>#N/A</v>
      </c>
      <c r="S18" t="e">
        <f>RTD("rtdtrading.rtdserver",, "ITUB4_B_0", "OVD")</f>
        <v>#N/A</v>
      </c>
      <c r="T18" t="e">
        <f>RTD("rtdtrading.rtdserver",, "ITUB4_B_0", "VOC")</f>
        <v>#N/A</v>
      </c>
      <c r="U18" t="e">
        <f>RTD("rtdtrading.rtdserver",, "ITUB4_B_0", "VOV")</f>
        <v>#N/A</v>
      </c>
      <c r="V18" t="e">
        <f>RTD("rtdtrading.rtdserver",, "ITUB4_B_0", "AJU")</f>
        <v>#N/A</v>
      </c>
      <c r="W18" t="e">
        <f>RTD("rtdtrading.rtdserver",, "ITUB4_B_0", "AJA")</f>
        <v>#N/A</v>
      </c>
      <c r="X18" t="e">
        <f>RTD("rtdtrading.rtdserver",, "ITUB4_B_0", "PRT")</f>
        <v>#N/A</v>
      </c>
      <c r="Y18" t="e">
        <f>RTD("rtdtrading.rtdserver",, "ITUB4_B_0", "QTE")</f>
        <v>#N/A</v>
      </c>
      <c r="Z18" t="e">
        <f>RTD("rtdtrading.rtdserver",, "ITUB4_B_0", "VPJ")</f>
        <v>#N/A</v>
      </c>
      <c r="AA18" t="e">
        <f>RTD("rtdtrading.rtdserver",, "ITUB4_B_0", "SEM")</f>
        <v>#N/A</v>
      </c>
      <c r="AB18" t="e">
        <f>RTD("rtdtrading.rtdserver",, "ITUB4_B_0", "MES")</f>
        <v>#N/A</v>
      </c>
      <c r="AC18" t="e">
        <f>RTD("rtdtrading.rtdserver",, "ITUB4_B_0", "3M")</f>
        <v>#N/A</v>
      </c>
      <c r="AD18" t="e">
        <f>RTD("rtdtrading.rtdserver",, "ITUB4_B_0", "6M")</f>
        <v>#N/A</v>
      </c>
      <c r="AE18" t="e">
        <f>RTD("rtdtrading.rtdserver",, "ITUB4_B_0", "12M")</f>
        <v>#N/A</v>
      </c>
      <c r="AF18" t="e">
        <f>RTD("rtdtrading.rtdserver",, "ITUB4_B_0", "ANO")</f>
        <v>#N/A</v>
      </c>
      <c r="AG18" t="e">
        <f>RTD("rtdtrading.rtdserver",, "ITUB4_B_0", "TRIM")</f>
        <v>#N/A</v>
      </c>
      <c r="AH18" t="e">
        <f>RTD("rtdtrading.rtdserver",, "ITUB4_B_0", "SEMES")</f>
        <v>#N/A</v>
      </c>
      <c r="AI18" t="e">
        <f>RTD("rtdtrading.rtdserver",, "ITUB4_B_0", "VEN")</f>
        <v>#N/A</v>
      </c>
      <c r="AJ18" t="e">
        <f>RTD("rtdtrading.rtdserver",, "ITUB4_B_0", "VAL")</f>
        <v>#N/A</v>
      </c>
      <c r="AK18" t="e">
        <f>RTD("rtdtrading.rtdserver",, "ITUB4_B_0", "CAB")</f>
        <v>#N/A</v>
      </c>
      <c r="AL18" t="e">
        <f>RTD("rtdtrading.rtdserver",, "ITUB4_B_0", "EST")</f>
        <v>#N/A</v>
      </c>
      <c r="AM18" t="e">
        <f>RTD("rtdtrading.rtdserver",, "ITUB4_B_0", "BLACK")</f>
        <v>#N/A</v>
      </c>
      <c r="AN18" t="e">
        <f>RTD("rtdtrading.rtdserver",, "ITUB4_B_0", "IMPVT")</f>
        <v>#N/A</v>
      </c>
      <c r="AO18" t="e">
        <f>RTD("rtdtrading.rtdserver",, "ITUB4_B_0", "DELTA")</f>
        <v>#N/A</v>
      </c>
      <c r="AP18" t="e">
        <f>RTD("rtdtrading.rtdserver",, "ITUB4_B_0", "GAMA")</f>
        <v>#N/A</v>
      </c>
      <c r="AQ18" t="e">
        <f>RTD("rtdtrading.rtdserver",, "ITUB4_B_0", "THETA")</f>
        <v>#N/A</v>
      </c>
      <c r="AR18" t="e">
        <f>RTD("rtdtrading.rtdserver",, "ITUB4_B_0", "RHO")</f>
        <v>#N/A</v>
      </c>
      <c r="AS18" t="e">
        <f>RTD("rtdtrading.rtdserver",, "ITUB4_B_0", "VEGA")</f>
        <v>#N/A</v>
      </c>
      <c r="AT18" t="e">
        <f>RTD("rtdtrading.rtdserver",, "ITUB4_B_0", "VIA")</f>
        <v>#N/A</v>
      </c>
      <c r="AU18" t="e">
        <f>RTD("rtdtrading.rtdserver",, "ITUB4_B_0", "VIB")</f>
        <v>#N/A</v>
      </c>
      <c r="AV18" t="e">
        <f>RTD("rtdtrading.rtdserver",, "ITUB4_B_0", "DOBRAR")</f>
        <v>#N/A</v>
      </c>
      <c r="AW18" t="e">
        <f>RTD("rtdtrading.rtdserver",, "ITUB4_B_0", "VIVH")</f>
        <v>#N/A</v>
      </c>
      <c r="AX18" t="e">
        <f>RTD("rtdtrading.rtdserver",, "ITUB4_B_0", "VINT")</f>
        <v>#N/A</v>
      </c>
      <c r="AY18" t="e">
        <f>RTD("rtdtrading.rtdserver",, "ITUB4_B_0", "VEXT")</f>
        <v>#N/A</v>
      </c>
      <c r="AZ18" t="e">
        <f>RTD("rtdtrading.rtdserver",, "ITUB4_B_0", "101_psicotrade")</f>
        <v>#N/A</v>
      </c>
      <c r="BA18" t="e">
        <f>RTD("rtdtrading.rtdserver",, "ITUB4_B_0", "67")</f>
        <v>#N/A</v>
      </c>
    </row>
    <row r="19" spans="1:53" x14ac:dyDescent="0.35">
      <c r="A19" t="s">
        <v>85</v>
      </c>
      <c r="B19" t="e">
        <f>RTD("rtdtrading.rtdserver",, "SUZB3_B_0", "DAT")</f>
        <v>#N/A</v>
      </c>
      <c r="C19" t="e">
        <f>RTD("rtdtrading.rtdserver",, "SUZB3_B_0", "HOR")</f>
        <v>#N/A</v>
      </c>
      <c r="D19" t="e">
        <f>RTD("rtdtrading.rtdserver",, "SUZB3_B_0", "ULT")</f>
        <v>#N/A</v>
      </c>
      <c r="E19" t="e">
        <f>RTD("rtdtrading.rtdserver",, "SUZB3_B_0", "ABE")</f>
        <v>#N/A</v>
      </c>
      <c r="F19" t="e">
        <f>RTD("rtdtrading.rtdserver",, "SUZB3_B_0", "MAX")</f>
        <v>#N/A</v>
      </c>
      <c r="G19" t="e">
        <f>RTD("rtdtrading.rtdserver",, "SUZB3_B_0", "MIN")</f>
        <v>#N/A</v>
      </c>
      <c r="H19" t="e">
        <f>RTD("rtdtrading.rtdserver",, "SUZB3_B_0", "FEC")</f>
        <v>#N/A</v>
      </c>
      <c r="I19" t="e">
        <f>RTD("rtdtrading.rtdserver",, "SUZB3_B_0", "PEX")</f>
        <v>#N/A</v>
      </c>
      <c r="J19" t="e">
        <f>RTD("rtdtrading.rtdserver",, "SUZB3_B_0", "VAR")</f>
        <v>#N/A</v>
      </c>
      <c r="K19" t="e">
        <f>RTD("rtdtrading.rtdserver",, "SUZB3_B_0", "VARPTS")</f>
        <v>#N/A</v>
      </c>
      <c r="L19" t="e">
        <f>RTD("rtdtrading.rtdserver",, "SUZB3_B_0", "MED")</f>
        <v>#N/A</v>
      </c>
      <c r="M19" t="s">
        <v>86</v>
      </c>
      <c r="N19" t="e">
        <f>RTD("rtdtrading.rtdserver",, "SUZB3_B_0", "NEG")</f>
        <v>#N/A</v>
      </c>
      <c r="O19" t="e">
        <f>RTD("rtdtrading.rtdserver",, "SUZB3_B_0", "QUL")</f>
        <v>#N/A</v>
      </c>
      <c r="P19" t="e">
        <f>RTD("rtdtrading.rtdserver",, "SUZB3_B_0", "QTT")</f>
        <v>#N/A</v>
      </c>
      <c r="Q19" t="e">
        <f>RTD("rtdtrading.rtdserver",, "SUZB3_B_0", "VOL")</f>
        <v>#N/A</v>
      </c>
      <c r="R19" t="e">
        <f>RTD("rtdtrading.rtdserver",, "SUZB3_B_0", "OCP")</f>
        <v>#N/A</v>
      </c>
      <c r="S19" t="e">
        <f>RTD("rtdtrading.rtdserver",, "SUZB3_B_0", "OVD")</f>
        <v>#N/A</v>
      </c>
      <c r="T19" t="e">
        <f>RTD("rtdtrading.rtdserver",, "SUZB3_B_0", "VOC")</f>
        <v>#N/A</v>
      </c>
      <c r="U19" t="e">
        <f>RTD("rtdtrading.rtdserver",, "SUZB3_B_0", "VOV")</f>
        <v>#N/A</v>
      </c>
      <c r="V19" t="e">
        <f>RTD("rtdtrading.rtdserver",, "SUZB3_B_0", "AJU")</f>
        <v>#N/A</v>
      </c>
      <c r="W19" t="e">
        <f>RTD("rtdtrading.rtdserver",, "SUZB3_B_0", "AJA")</f>
        <v>#N/A</v>
      </c>
      <c r="X19" t="e">
        <f>RTD("rtdtrading.rtdserver",, "SUZB3_B_0", "PRT")</f>
        <v>#N/A</v>
      </c>
      <c r="Y19" t="e">
        <f>RTD("rtdtrading.rtdserver",, "SUZB3_B_0", "QTE")</f>
        <v>#N/A</v>
      </c>
      <c r="Z19" t="e">
        <f>RTD("rtdtrading.rtdserver",, "SUZB3_B_0", "VPJ")</f>
        <v>#N/A</v>
      </c>
      <c r="AA19" t="e">
        <f>RTD("rtdtrading.rtdserver",, "SUZB3_B_0", "SEM")</f>
        <v>#N/A</v>
      </c>
      <c r="AB19" t="e">
        <f>RTD("rtdtrading.rtdserver",, "SUZB3_B_0", "MES")</f>
        <v>#N/A</v>
      </c>
      <c r="AC19" t="e">
        <f>RTD("rtdtrading.rtdserver",, "SUZB3_B_0", "3M")</f>
        <v>#N/A</v>
      </c>
      <c r="AD19" t="e">
        <f>RTD("rtdtrading.rtdserver",, "SUZB3_B_0", "6M")</f>
        <v>#N/A</v>
      </c>
      <c r="AE19" t="e">
        <f>RTD("rtdtrading.rtdserver",, "SUZB3_B_0", "12M")</f>
        <v>#N/A</v>
      </c>
      <c r="AF19" t="e">
        <f>RTD("rtdtrading.rtdserver",, "SUZB3_B_0", "ANO")</f>
        <v>#N/A</v>
      </c>
      <c r="AG19" t="e">
        <f>RTD("rtdtrading.rtdserver",, "SUZB3_B_0", "TRIM")</f>
        <v>#N/A</v>
      </c>
      <c r="AH19" t="e">
        <f>RTD("rtdtrading.rtdserver",, "SUZB3_B_0", "SEMES")</f>
        <v>#N/A</v>
      </c>
      <c r="AI19" t="e">
        <f>RTD("rtdtrading.rtdserver",, "SUZB3_B_0", "VEN")</f>
        <v>#N/A</v>
      </c>
      <c r="AJ19" t="e">
        <f>RTD("rtdtrading.rtdserver",, "SUZB3_B_0", "VAL")</f>
        <v>#N/A</v>
      </c>
      <c r="AK19" t="e">
        <f>RTD("rtdtrading.rtdserver",, "SUZB3_B_0", "CAB")</f>
        <v>#N/A</v>
      </c>
      <c r="AL19" t="e">
        <f>RTD("rtdtrading.rtdserver",, "SUZB3_B_0", "EST")</f>
        <v>#N/A</v>
      </c>
      <c r="AM19" t="e">
        <f>RTD("rtdtrading.rtdserver",, "SUZB3_B_0", "BLACK")</f>
        <v>#N/A</v>
      </c>
      <c r="AN19" t="e">
        <f>RTD("rtdtrading.rtdserver",, "SUZB3_B_0", "IMPVT")</f>
        <v>#N/A</v>
      </c>
      <c r="AO19" t="e">
        <f>RTD("rtdtrading.rtdserver",, "SUZB3_B_0", "DELTA")</f>
        <v>#N/A</v>
      </c>
      <c r="AP19" t="e">
        <f>RTD("rtdtrading.rtdserver",, "SUZB3_B_0", "GAMA")</f>
        <v>#N/A</v>
      </c>
      <c r="AQ19" t="e">
        <f>RTD("rtdtrading.rtdserver",, "SUZB3_B_0", "THETA")</f>
        <v>#N/A</v>
      </c>
      <c r="AR19" t="e">
        <f>RTD("rtdtrading.rtdserver",, "SUZB3_B_0", "RHO")</f>
        <v>#N/A</v>
      </c>
      <c r="AS19" t="e">
        <f>RTD("rtdtrading.rtdserver",, "SUZB3_B_0", "VEGA")</f>
        <v>#N/A</v>
      </c>
      <c r="AT19" t="e">
        <f>RTD("rtdtrading.rtdserver",, "SUZB3_B_0", "VIA")</f>
        <v>#N/A</v>
      </c>
      <c r="AU19" t="e">
        <f>RTD("rtdtrading.rtdserver",, "SUZB3_B_0", "VIB")</f>
        <v>#N/A</v>
      </c>
      <c r="AV19" t="e">
        <f>RTD("rtdtrading.rtdserver",, "SUZB3_B_0", "DOBRAR")</f>
        <v>#N/A</v>
      </c>
      <c r="AW19" t="e">
        <f>RTD("rtdtrading.rtdserver",, "SUZB3_B_0", "VIVH")</f>
        <v>#N/A</v>
      </c>
      <c r="AX19" t="e">
        <f>RTD("rtdtrading.rtdserver",, "SUZB3_B_0", "VINT")</f>
        <v>#N/A</v>
      </c>
      <c r="AY19" t="e">
        <f>RTD("rtdtrading.rtdserver",, "SUZB3_B_0", "VEXT")</f>
        <v>#N/A</v>
      </c>
      <c r="AZ19" t="e">
        <f>RTD("rtdtrading.rtdserver",, "SUZB3_B_0", "101_psicotrade")</f>
        <v>#N/A</v>
      </c>
      <c r="BA19" t="e">
        <f>RTD("rtdtrading.rtdserver",, "SUZB3_B_0", "67")</f>
        <v>#N/A</v>
      </c>
    </row>
    <row r="20" spans="1:53" x14ac:dyDescent="0.35">
      <c r="A20" t="s">
        <v>87</v>
      </c>
      <c r="B20" t="e">
        <f>RTD("rtdtrading.rtdserver",, "CMIG4_B_0", "DAT")</f>
        <v>#N/A</v>
      </c>
      <c r="C20" t="e">
        <f>RTD("rtdtrading.rtdserver",, "CMIG4_B_0", "HOR")</f>
        <v>#N/A</v>
      </c>
      <c r="D20" t="e">
        <f>RTD("rtdtrading.rtdserver",, "CMIG4_B_0", "ULT")</f>
        <v>#N/A</v>
      </c>
      <c r="E20" t="e">
        <f>RTD("rtdtrading.rtdserver",, "CMIG4_B_0", "ABE")</f>
        <v>#N/A</v>
      </c>
      <c r="F20" t="e">
        <f>RTD("rtdtrading.rtdserver",, "CMIG4_B_0", "MAX")</f>
        <v>#N/A</v>
      </c>
      <c r="G20" t="e">
        <f>RTD("rtdtrading.rtdserver",, "CMIG4_B_0", "MIN")</f>
        <v>#N/A</v>
      </c>
      <c r="H20" t="e">
        <f>RTD("rtdtrading.rtdserver",, "CMIG4_B_0", "FEC")</f>
        <v>#N/A</v>
      </c>
      <c r="I20" t="e">
        <f>RTD("rtdtrading.rtdserver",, "CMIG4_B_0", "PEX")</f>
        <v>#N/A</v>
      </c>
      <c r="J20" t="e">
        <f>RTD("rtdtrading.rtdserver",, "CMIG4_B_0", "VAR")</f>
        <v>#N/A</v>
      </c>
      <c r="K20" t="e">
        <f>RTD("rtdtrading.rtdserver",, "CMIG4_B_0", "VARPTS")</f>
        <v>#N/A</v>
      </c>
      <c r="L20" t="e">
        <f>RTD("rtdtrading.rtdserver",, "CMIG4_B_0", "MED")</f>
        <v>#N/A</v>
      </c>
      <c r="M20" t="s">
        <v>88</v>
      </c>
      <c r="N20" t="e">
        <f>RTD("rtdtrading.rtdserver",, "CMIG4_B_0", "NEG")</f>
        <v>#N/A</v>
      </c>
      <c r="O20" t="e">
        <f>RTD("rtdtrading.rtdserver",, "CMIG4_B_0", "QUL")</f>
        <v>#N/A</v>
      </c>
      <c r="P20" t="e">
        <f>RTD("rtdtrading.rtdserver",, "CMIG4_B_0", "QTT")</f>
        <v>#N/A</v>
      </c>
      <c r="Q20" t="e">
        <f>RTD("rtdtrading.rtdserver",, "CMIG4_B_0", "VOL")</f>
        <v>#N/A</v>
      </c>
      <c r="R20" t="e">
        <f>RTD("rtdtrading.rtdserver",, "CMIG4_B_0", "OCP")</f>
        <v>#N/A</v>
      </c>
      <c r="S20" t="e">
        <f>RTD("rtdtrading.rtdserver",, "CMIG4_B_0", "OVD")</f>
        <v>#N/A</v>
      </c>
      <c r="T20" t="e">
        <f>RTD("rtdtrading.rtdserver",, "CMIG4_B_0", "VOC")</f>
        <v>#N/A</v>
      </c>
      <c r="U20" t="e">
        <f>RTD("rtdtrading.rtdserver",, "CMIG4_B_0", "VOV")</f>
        <v>#N/A</v>
      </c>
      <c r="V20" t="e">
        <f>RTD("rtdtrading.rtdserver",, "CMIG4_B_0", "AJU")</f>
        <v>#N/A</v>
      </c>
      <c r="W20" t="e">
        <f>RTD("rtdtrading.rtdserver",, "CMIG4_B_0", "AJA")</f>
        <v>#N/A</v>
      </c>
      <c r="X20" t="e">
        <f>RTD("rtdtrading.rtdserver",, "CMIG4_B_0", "PRT")</f>
        <v>#N/A</v>
      </c>
      <c r="Y20" t="e">
        <f>RTD("rtdtrading.rtdserver",, "CMIG4_B_0", "QTE")</f>
        <v>#N/A</v>
      </c>
      <c r="Z20" t="e">
        <f>RTD("rtdtrading.rtdserver",, "CMIG4_B_0", "VPJ")</f>
        <v>#N/A</v>
      </c>
      <c r="AA20" t="e">
        <f>RTD("rtdtrading.rtdserver",, "CMIG4_B_0", "SEM")</f>
        <v>#N/A</v>
      </c>
      <c r="AB20" t="e">
        <f>RTD("rtdtrading.rtdserver",, "CMIG4_B_0", "MES")</f>
        <v>#N/A</v>
      </c>
      <c r="AC20" t="e">
        <f>RTD("rtdtrading.rtdserver",, "CMIG4_B_0", "3M")</f>
        <v>#N/A</v>
      </c>
      <c r="AD20" t="e">
        <f>RTD("rtdtrading.rtdserver",, "CMIG4_B_0", "6M")</f>
        <v>#N/A</v>
      </c>
      <c r="AE20" t="e">
        <f>RTD("rtdtrading.rtdserver",, "CMIG4_B_0", "12M")</f>
        <v>#N/A</v>
      </c>
      <c r="AF20" t="e">
        <f>RTD("rtdtrading.rtdserver",, "CMIG4_B_0", "ANO")</f>
        <v>#N/A</v>
      </c>
      <c r="AG20" t="e">
        <f>RTD("rtdtrading.rtdserver",, "CMIG4_B_0", "TRIM")</f>
        <v>#N/A</v>
      </c>
      <c r="AH20" t="e">
        <f>RTD("rtdtrading.rtdserver",, "CMIG4_B_0", "SEMES")</f>
        <v>#N/A</v>
      </c>
      <c r="AI20" t="e">
        <f>RTD("rtdtrading.rtdserver",, "CMIG4_B_0", "VEN")</f>
        <v>#N/A</v>
      </c>
      <c r="AJ20" t="e">
        <f>RTD("rtdtrading.rtdserver",, "CMIG4_B_0", "VAL")</f>
        <v>#N/A</v>
      </c>
      <c r="AK20" t="e">
        <f>RTD("rtdtrading.rtdserver",, "CMIG4_B_0", "CAB")</f>
        <v>#N/A</v>
      </c>
      <c r="AL20" t="e">
        <f>RTD("rtdtrading.rtdserver",, "CMIG4_B_0", "EST")</f>
        <v>#N/A</v>
      </c>
      <c r="AM20" t="e">
        <f>RTD("rtdtrading.rtdserver",, "CMIG4_B_0", "BLACK")</f>
        <v>#N/A</v>
      </c>
      <c r="AN20" t="e">
        <f>RTD("rtdtrading.rtdserver",, "CMIG4_B_0", "IMPVT")</f>
        <v>#N/A</v>
      </c>
      <c r="AO20" t="e">
        <f>RTD("rtdtrading.rtdserver",, "CMIG4_B_0", "DELTA")</f>
        <v>#N/A</v>
      </c>
      <c r="AP20" t="e">
        <f>RTD("rtdtrading.rtdserver",, "CMIG4_B_0", "GAMA")</f>
        <v>#N/A</v>
      </c>
      <c r="AQ20" t="e">
        <f>RTD("rtdtrading.rtdserver",, "CMIG4_B_0", "THETA")</f>
        <v>#N/A</v>
      </c>
      <c r="AR20" t="e">
        <f>RTD("rtdtrading.rtdserver",, "CMIG4_B_0", "RHO")</f>
        <v>#N/A</v>
      </c>
      <c r="AS20" t="e">
        <f>RTD("rtdtrading.rtdserver",, "CMIG4_B_0", "VEGA")</f>
        <v>#N/A</v>
      </c>
      <c r="AT20" t="e">
        <f>RTD("rtdtrading.rtdserver",, "CMIG4_B_0", "VIA")</f>
        <v>#N/A</v>
      </c>
      <c r="AU20" t="e">
        <f>RTD("rtdtrading.rtdserver",, "CMIG4_B_0", "VIB")</f>
        <v>#N/A</v>
      </c>
      <c r="AV20" t="e">
        <f>RTD("rtdtrading.rtdserver",, "CMIG4_B_0", "DOBRAR")</f>
        <v>#N/A</v>
      </c>
      <c r="AW20" t="e">
        <f>RTD("rtdtrading.rtdserver",, "CMIG4_B_0", "VIVH")</f>
        <v>#N/A</v>
      </c>
      <c r="AX20" t="e">
        <f>RTD("rtdtrading.rtdserver",, "CMIG4_B_0", "VINT")</f>
        <v>#N/A</v>
      </c>
      <c r="AY20" t="e">
        <f>RTD("rtdtrading.rtdserver",, "CMIG4_B_0", "VEXT")</f>
        <v>#N/A</v>
      </c>
      <c r="AZ20" t="e">
        <f>RTD("rtdtrading.rtdserver",, "CMIG4_B_0", "101_psicotrade")</f>
        <v>#N/A</v>
      </c>
      <c r="BA20" t="e">
        <f>RTD("rtdtrading.rtdserver",, "CMIG4_B_0", "67")</f>
        <v>#N/A</v>
      </c>
    </row>
    <row r="21" spans="1:53" x14ac:dyDescent="0.35">
      <c r="A21" t="s">
        <v>89</v>
      </c>
      <c r="B21" t="e">
        <f>RTD("rtdtrading.rtdserver",, "BRFS3_B_0", "DAT")</f>
        <v>#N/A</v>
      </c>
      <c r="C21" t="e">
        <f>RTD("rtdtrading.rtdserver",, "BRFS3_B_0", "HOR")</f>
        <v>#N/A</v>
      </c>
      <c r="D21" t="e">
        <f>RTD("rtdtrading.rtdserver",, "BRFS3_B_0", "ULT")</f>
        <v>#N/A</v>
      </c>
      <c r="E21" t="e">
        <f>RTD("rtdtrading.rtdserver",, "BRFS3_B_0", "ABE")</f>
        <v>#N/A</v>
      </c>
      <c r="F21" t="e">
        <f>RTD("rtdtrading.rtdserver",, "BRFS3_B_0", "MAX")</f>
        <v>#N/A</v>
      </c>
      <c r="G21" t="e">
        <f>RTD("rtdtrading.rtdserver",, "BRFS3_B_0", "MIN")</f>
        <v>#N/A</v>
      </c>
      <c r="H21" t="e">
        <f>RTD("rtdtrading.rtdserver",, "BRFS3_B_0", "FEC")</f>
        <v>#N/A</v>
      </c>
      <c r="I21" t="e">
        <f>RTD("rtdtrading.rtdserver",, "BRFS3_B_0", "PEX")</f>
        <v>#N/A</v>
      </c>
      <c r="J21" t="e">
        <f>RTD("rtdtrading.rtdserver",, "BRFS3_B_0", "VAR")</f>
        <v>#N/A</v>
      </c>
      <c r="K21" t="e">
        <f>RTD("rtdtrading.rtdserver",, "BRFS3_B_0", "VARPTS")</f>
        <v>#N/A</v>
      </c>
      <c r="L21" t="e">
        <f>RTD("rtdtrading.rtdserver",, "BRFS3_B_0", "MED")</f>
        <v>#N/A</v>
      </c>
      <c r="M21" t="s">
        <v>90</v>
      </c>
      <c r="N21" t="e">
        <f>RTD("rtdtrading.rtdserver",, "BRFS3_B_0", "NEG")</f>
        <v>#N/A</v>
      </c>
      <c r="O21" t="e">
        <f>RTD("rtdtrading.rtdserver",, "BRFS3_B_0", "QUL")</f>
        <v>#N/A</v>
      </c>
      <c r="P21" t="e">
        <f>RTD("rtdtrading.rtdserver",, "BRFS3_B_0", "QTT")</f>
        <v>#N/A</v>
      </c>
      <c r="Q21" t="e">
        <f>RTD("rtdtrading.rtdserver",, "BRFS3_B_0", "VOL")</f>
        <v>#N/A</v>
      </c>
      <c r="R21" t="e">
        <f>RTD("rtdtrading.rtdserver",, "BRFS3_B_0", "OCP")</f>
        <v>#N/A</v>
      </c>
      <c r="S21" t="e">
        <f>RTD("rtdtrading.rtdserver",, "BRFS3_B_0", "OVD")</f>
        <v>#N/A</v>
      </c>
      <c r="T21" t="e">
        <f>RTD("rtdtrading.rtdserver",, "BRFS3_B_0", "VOC")</f>
        <v>#N/A</v>
      </c>
      <c r="U21" t="e">
        <f>RTD("rtdtrading.rtdserver",, "BRFS3_B_0", "VOV")</f>
        <v>#N/A</v>
      </c>
      <c r="V21" t="e">
        <f>RTD("rtdtrading.rtdserver",, "BRFS3_B_0", "AJU")</f>
        <v>#N/A</v>
      </c>
      <c r="W21" t="e">
        <f>RTD("rtdtrading.rtdserver",, "BRFS3_B_0", "AJA")</f>
        <v>#N/A</v>
      </c>
      <c r="X21" t="e">
        <f>RTD("rtdtrading.rtdserver",, "BRFS3_B_0", "PRT")</f>
        <v>#N/A</v>
      </c>
      <c r="Y21" t="e">
        <f>RTD("rtdtrading.rtdserver",, "BRFS3_B_0", "QTE")</f>
        <v>#N/A</v>
      </c>
      <c r="Z21" t="e">
        <f>RTD("rtdtrading.rtdserver",, "BRFS3_B_0", "VPJ")</f>
        <v>#N/A</v>
      </c>
      <c r="AA21" t="e">
        <f>RTD("rtdtrading.rtdserver",, "BRFS3_B_0", "SEM")</f>
        <v>#N/A</v>
      </c>
      <c r="AB21" t="e">
        <f>RTD("rtdtrading.rtdserver",, "BRFS3_B_0", "MES")</f>
        <v>#N/A</v>
      </c>
      <c r="AC21" t="e">
        <f>RTD("rtdtrading.rtdserver",, "BRFS3_B_0", "3M")</f>
        <v>#N/A</v>
      </c>
      <c r="AD21" t="e">
        <f>RTD("rtdtrading.rtdserver",, "BRFS3_B_0", "6M")</f>
        <v>#N/A</v>
      </c>
      <c r="AE21" t="e">
        <f>RTD("rtdtrading.rtdserver",, "BRFS3_B_0", "12M")</f>
        <v>#N/A</v>
      </c>
      <c r="AF21" t="e">
        <f>RTD("rtdtrading.rtdserver",, "BRFS3_B_0", "ANO")</f>
        <v>#N/A</v>
      </c>
      <c r="AG21" t="e">
        <f>RTD("rtdtrading.rtdserver",, "BRFS3_B_0", "TRIM")</f>
        <v>#N/A</v>
      </c>
      <c r="AH21" t="e">
        <f>RTD("rtdtrading.rtdserver",, "BRFS3_B_0", "SEMES")</f>
        <v>#N/A</v>
      </c>
      <c r="AI21" t="e">
        <f>RTD("rtdtrading.rtdserver",, "BRFS3_B_0", "VEN")</f>
        <v>#N/A</v>
      </c>
      <c r="AJ21" t="e">
        <f>RTD("rtdtrading.rtdserver",, "BRFS3_B_0", "VAL")</f>
        <v>#N/A</v>
      </c>
      <c r="AK21" t="e">
        <f>RTD("rtdtrading.rtdserver",, "BRFS3_B_0", "CAB")</f>
        <v>#N/A</v>
      </c>
      <c r="AL21" t="e">
        <f>RTD("rtdtrading.rtdserver",, "BRFS3_B_0", "EST")</f>
        <v>#N/A</v>
      </c>
      <c r="AM21" t="e">
        <f>RTD("rtdtrading.rtdserver",, "BRFS3_B_0", "BLACK")</f>
        <v>#N/A</v>
      </c>
      <c r="AN21" t="e">
        <f>RTD("rtdtrading.rtdserver",, "BRFS3_B_0", "IMPVT")</f>
        <v>#N/A</v>
      </c>
      <c r="AO21" t="e">
        <f>RTD("rtdtrading.rtdserver",, "BRFS3_B_0", "DELTA")</f>
        <v>#N/A</v>
      </c>
      <c r="AP21" t="e">
        <f>RTD("rtdtrading.rtdserver",, "BRFS3_B_0", "GAMA")</f>
        <v>#N/A</v>
      </c>
      <c r="AQ21" t="e">
        <f>RTD("rtdtrading.rtdserver",, "BRFS3_B_0", "THETA")</f>
        <v>#N/A</v>
      </c>
      <c r="AR21" t="e">
        <f>RTD("rtdtrading.rtdserver",, "BRFS3_B_0", "RHO")</f>
        <v>#N/A</v>
      </c>
      <c r="AS21" t="e">
        <f>RTD("rtdtrading.rtdserver",, "BRFS3_B_0", "VEGA")</f>
        <v>#N/A</v>
      </c>
      <c r="AT21" t="e">
        <f>RTD("rtdtrading.rtdserver",, "BRFS3_B_0", "VIA")</f>
        <v>#N/A</v>
      </c>
      <c r="AU21" t="e">
        <f>RTD("rtdtrading.rtdserver",, "BRFS3_B_0", "VIB")</f>
        <v>#N/A</v>
      </c>
      <c r="AV21" t="e">
        <f>RTD("rtdtrading.rtdserver",, "BRFS3_B_0", "DOBRAR")</f>
        <v>#N/A</v>
      </c>
      <c r="AW21" t="e">
        <f>RTD("rtdtrading.rtdserver",, "BRFS3_B_0", "VIVH")</f>
        <v>#N/A</v>
      </c>
      <c r="AX21" t="e">
        <f>RTD("rtdtrading.rtdserver",, "BRFS3_B_0", "VINT")</f>
        <v>#N/A</v>
      </c>
      <c r="AY21" t="e">
        <f>RTD("rtdtrading.rtdserver",, "BRFS3_B_0", "VEXT")</f>
        <v>#N/A</v>
      </c>
      <c r="AZ21" t="e">
        <f>RTD("rtdtrading.rtdserver",, "BRFS3_B_0", "101_psicotrade")</f>
        <v>#N/A</v>
      </c>
      <c r="BA21" t="e">
        <f>RTD("rtdtrading.rtdserver",, "BRFS3_B_0", "67")</f>
        <v>#N/A</v>
      </c>
    </row>
    <row r="22" spans="1:53" x14ac:dyDescent="0.35">
      <c r="A22" t="s">
        <v>91</v>
      </c>
      <c r="B22" t="e">
        <f>RTD("rtdtrading.rtdserver",, "PETR4_B_0", "DAT")</f>
        <v>#N/A</v>
      </c>
      <c r="C22" t="e">
        <f>RTD("rtdtrading.rtdserver",, "PETR4_B_0", "HOR")</f>
        <v>#N/A</v>
      </c>
      <c r="D22" t="e">
        <f>RTD("rtdtrading.rtdserver",, "PETR4_B_0", "ULT")</f>
        <v>#N/A</v>
      </c>
      <c r="E22" t="e">
        <f>RTD("rtdtrading.rtdserver",, "PETR4_B_0", "ABE")</f>
        <v>#N/A</v>
      </c>
      <c r="F22" t="e">
        <f>RTD("rtdtrading.rtdserver",, "PETR4_B_0", "MAX")</f>
        <v>#N/A</v>
      </c>
      <c r="G22" t="e">
        <f>RTD("rtdtrading.rtdserver",, "PETR4_B_0", "MIN")</f>
        <v>#N/A</v>
      </c>
      <c r="H22" t="e">
        <f>RTD("rtdtrading.rtdserver",, "PETR4_B_0", "FEC")</f>
        <v>#N/A</v>
      </c>
      <c r="I22" t="e">
        <f>RTD("rtdtrading.rtdserver",, "PETR4_B_0", "PEX")</f>
        <v>#N/A</v>
      </c>
      <c r="J22" t="e">
        <f>RTD("rtdtrading.rtdserver",, "PETR4_B_0", "VAR")</f>
        <v>#N/A</v>
      </c>
      <c r="K22" t="e">
        <f>RTD("rtdtrading.rtdserver",, "PETR4_B_0", "VARPTS")</f>
        <v>#N/A</v>
      </c>
      <c r="L22" t="e">
        <f>RTD("rtdtrading.rtdserver",, "PETR4_B_0", "MED")</f>
        <v>#N/A</v>
      </c>
      <c r="M22" t="s">
        <v>92</v>
      </c>
      <c r="N22" t="e">
        <f>RTD("rtdtrading.rtdserver",, "PETR4_B_0", "NEG")</f>
        <v>#N/A</v>
      </c>
      <c r="O22" t="e">
        <f>RTD("rtdtrading.rtdserver",, "PETR4_B_0", "QUL")</f>
        <v>#N/A</v>
      </c>
      <c r="P22" t="e">
        <f>RTD("rtdtrading.rtdserver",, "PETR4_B_0", "QTT")</f>
        <v>#N/A</v>
      </c>
      <c r="Q22" t="e">
        <f>RTD("rtdtrading.rtdserver",, "PETR4_B_0", "VOL")</f>
        <v>#N/A</v>
      </c>
      <c r="R22" t="e">
        <f>RTD("rtdtrading.rtdserver",, "PETR4_B_0", "OCP")</f>
        <v>#N/A</v>
      </c>
      <c r="S22" t="e">
        <f>RTD("rtdtrading.rtdserver",, "PETR4_B_0", "OVD")</f>
        <v>#N/A</v>
      </c>
      <c r="T22" t="e">
        <f>RTD("rtdtrading.rtdserver",, "PETR4_B_0", "VOC")</f>
        <v>#N/A</v>
      </c>
      <c r="U22" t="e">
        <f>RTD("rtdtrading.rtdserver",, "PETR4_B_0", "VOV")</f>
        <v>#N/A</v>
      </c>
      <c r="V22" t="e">
        <f>RTD("rtdtrading.rtdserver",, "PETR4_B_0", "AJU")</f>
        <v>#N/A</v>
      </c>
      <c r="W22" t="e">
        <f>RTD("rtdtrading.rtdserver",, "PETR4_B_0", "AJA")</f>
        <v>#N/A</v>
      </c>
      <c r="X22" t="e">
        <f>RTD("rtdtrading.rtdserver",, "PETR4_B_0", "PRT")</f>
        <v>#N/A</v>
      </c>
      <c r="Y22" t="e">
        <f>RTD("rtdtrading.rtdserver",, "PETR4_B_0", "QTE")</f>
        <v>#N/A</v>
      </c>
      <c r="Z22" t="e">
        <f>RTD("rtdtrading.rtdserver",, "PETR4_B_0", "VPJ")</f>
        <v>#N/A</v>
      </c>
      <c r="AA22" t="e">
        <f>RTD("rtdtrading.rtdserver",, "PETR4_B_0", "SEM")</f>
        <v>#N/A</v>
      </c>
      <c r="AB22" t="e">
        <f>RTD("rtdtrading.rtdserver",, "PETR4_B_0", "MES")</f>
        <v>#N/A</v>
      </c>
      <c r="AC22" t="e">
        <f>RTD("rtdtrading.rtdserver",, "PETR4_B_0", "3M")</f>
        <v>#N/A</v>
      </c>
      <c r="AD22" t="e">
        <f>RTD("rtdtrading.rtdserver",, "PETR4_B_0", "6M")</f>
        <v>#N/A</v>
      </c>
      <c r="AE22" t="e">
        <f>RTD("rtdtrading.rtdserver",, "PETR4_B_0", "12M")</f>
        <v>#N/A</v>
      </c>
      <c r="AF22" t="e">
        <f>RTD("rtdtrading.rtdserver",, "PETR4_B_0", "ANO")</f>
        <v>#N/A</v>
      </c>
      <c r="AG22" t="e">
        <f>RTD("rtdtrading.rtdserver",, "PETR4_B_0", "TRIM")</f>
        <v>#N/A</v>
      </c>
      <c r="AH22" t="e">
        <f>RTD("rtdtrading.rtdserver",, "PETR4_B_0", "SEMES")</f>
        <v>#N/A</v>
      </c>
      <c r="AI22" t="e">
        <f>RTD("rtdtrading.rtdserver",, "PETR4_B_0", "VEN")</f>
        <v>#N/A</v>
      </c>
      <c r="AJ22" t="e">
        <f>RTD("rtdtrading.rtdserver",, "PETR4_B_0", "VAL")</f>
        <v>#N/A</v>
      </c>
      <c r="AK22" t="e">
        <f>RTD("rtdtrading.rtdserver",, "PETR4_B_0", "CAB")</f>
        <v>#N/A</v>
      </c>
      <c r="AL22" t="e">
        <f>RTD("rtdtrading.rtdserver",, "PETR4_B_0", "EST")</f>
        <v>#N/A</v>
      </c>
      <c r="AM22" t="e">
        <f>RTD("rtdtrading.rtdserver",, "PETR4_B_0", "BLACK")</f>
        <v>#N/A</v>
      </c>
      <c r="AN22" t="e">
        <f>RTD("rtdtrading.rtdserver",, "PETR4_B_0", "IMPVT")</f>
        <v>#N/A</v>
      </c>
      <c r="AO22" t="e">
        <f>RTD("rtdtrading.rtdserver",, "PETR4_B_0", "DELTA")</f>
        <v>#N/A</v>
      </c>
      <c r="AP22" t="e">
        <f>RTD("rtdtrading.rtdserver",, "PETR4_B_0", "GAMA")</f>
        <v>#N/A</v>
      </c>
      <c r="AQ22" t="e">
        <f>RTD("rtdtrading.rtdserver",, "PETR4_B_0", "THETA")</f>
        <v>#N/A</v>
      </c>
      <c r="AR22" t="e">
        <f>RTD("rtdtrading.rtdserver",, "PETR4_B_0", "RHO")</f>
        <v>#N/A</v>
      </c>
      <c r="AS22" t="e">
        <f>RTD("rtdtrading.rtdserver",, "PETR4_B_0", "VEGA")</f>
        <v>#N/A</v>
      </c>
      <c r="AT22" t="e">
        <f>RTD("rtdtrading.rtdserver",, "PETR4_B_0", "VIA")</f>
        <v>#N/A</v>
      </c>
      <c r="AU22" t="e">
        <f>RTD("rtdtrading.rtdserver",, "PETR4_B_0", "VIB")</f>
        <v>#N/A</v>
      </c>
      <c r="AV22" t="e">
        <f>RTD("rtdtrading.rtdserver",, "PETR4_B_0", "DOBRAR")</f>
        <v>#N/A</v>
      </c>
      <c r="AW22" t="e">
        <f>RTD("rtdtrading.rtdserver",, "PETR4_B_0", "VIVH")</f>
        <v>#N/A</v>
      </c>
      <c r="AX22" t="e">
        <f>RTD("rtdtrading.rtdserver",, "PETR4_B_0", "VINT")</f>
        <v>#N/A</v>
      </c>
      <c r="AY22" t="e">
        <f>RTD("rtdtrading.rtdserver",, "PETR4_B_0", "VEXT")</f>
        <v>#N/A</v>
      </c>
      <c r="AZ22" t="e">
        <f>RTD("rtdtrading.rtdserver",, "PETR4_B_0", "101_psicotrade")</f>
        <v>#N/A</v>
      </c>
      <c r="BA22" t="e">
        <f>RTD("rtdtrading.rtdserver",, "PETR4_B_0", "67")</f>
        <v>#N/A</v>
      </c>
    </row>
    <row r="23" spans="1:53" x14ac:dyDescent="0.35">
      <c r="A23" t="s">
        <v>93</v>
      </c>
      <c r="B23" t="e">
        <f>RTD("rtdtrading.rtdserver",, "IBOV_B_0", "DAT")</f>
        <v>#N/A</v>
      </c>
      <c r="C23" t="e">
        <f>RTD("rtdtrading.rtdserver",, "IBOV_B_0", "HOR")</f>
        <v>#N/A</v>
      </c>
      <c r="D23" t="e">
        <f>RTD("rtdtrading.rtdserver",, "IBOV_B_0", "ULT")</f>
        <v>#N/A</v>
      </c>
      <c r="E23" t="e">
        <f>RTD("rtdtrading.rtdserver",, "IBOV_B_0", "ABE")</f>
        <v>#N/A</v>
      </c>
      <c r="F23" t="e">
        <f>RTD("rtdtrading.rtdserver",, "IBOV_B_0", "MAX")</f>
        <v>#N/A</v>
      </c>
      <c r="G23" t="e">
        <f>RTD("rtdtrading.rtdserver",, "IBOV_B_0", "MIN")</f>
        <v>#N/A</v>
      </c>
      <c r="H23" t="e">
        <f>RTD("rtdtrading.rtdserver",, "IBOV_B_0", "FEC")</f>
        <v>#N/A</v>
      </c>
      <c r="I23" t="e">
        <f>RTD("rtdtrading.rtdserver",, "IBOV_B_0", "PEX")</f>
        <v>#N/A</v>
      </c>
      <c r="J23" t="e">
        <f>RTD("rtdtrading.rtdserver",, "IBOV_B_0", "VAR")</f>
        <v>#N/A</v>
      </c>
      <c r="K23" t="e">
        <f>RTD("rtdtrading.rtdserver",, "IBOV_B_0", "VARPTS")</f>
        <v>#N/A</v>
      </c>
      <c r="L23" t="e">
        <f>RTD("rtdtrading.rtdserver",, "IBOV_B_0", "MED")</f>
        <v>#N/A</v>
      </c>
      <c r="M23" t="s">
        <v>94</v>
      </c>
      <c r="N23" t="e">
        <f>RTD("rtdtrading.rtdserver",, "IBOV_B_0", "NEG")</f>
        <v>#N/A</v>
      </c>
      <c r="O23" t="e">
        <f>RTD("rtdtrading.rtdserver",, "IBOV_B_0", "QUL")</f>
        <v>#N/A</v>
      </c>
      <c r="P23" t="e">
        <f>RTD("rtdtrading.rtdserver",, "IBOV_B_0", "QTT")</f>
        <v>#N/A</v>
      </c>
      <c r="Q23" t="e">
        <f>RTD("rtdtrading.rtdserver",, "IBOV_B_0", "VOL")</f>
        <v>#N/A</v>
      </c>
      <c r="R23" t="e">
        <f>RTD("rtdtrading.rtdserver",, "IBOV_B_0", "OCP")</f>
        <v>#N/A</v>
      </c>
      <c r="S23" t="e">
        <f>RTD("rtdtrading.rtdserver",, "IBOV_B_0", "OVD")</f>
        <v>#N/A</v>
      </c>
      <c r="T23" t="e">
        <f>RTD("rtdtrading.rtdserver",, "IBOV_B_0", "VOC")</f>
        <v>#N/A</v>
      </c>
      <c r="U23" t="e">
        <f>RTD("rtdtrading.rtdserver",, "IBOV_B_0", "VOV")</f>
        <v>#N/A</v>
      </c>
      <c r="V23" t="e">
        <f>RTD("rtdtrading.rtdserver",, "IBOV_B_0", "AJU")</f>
        <v>#N/A</v>
      </c>
      <c r="W23" t="e">
        <f>RTD("rtdtrading.rtdserver",, "IBOV_B_0", "AJA")</f>
        <v>#N/A</v>
      </c>
      <c r="X23" t="e">
        <f>RTD("rtdtrading.rtdserver",, "IBOV_B_0", "PRT")</f>
        <v>#N/A</v>
      </c>
      <c r="Y23" t="e">
        <f>RTD("rtdtrading.rtdserver",, "IBOV_B_0", "QTE")</f>
        <v>#N/A</v>
      </c>
      <c r="Z23" t="e">
        <f>RTD("rtdtrading.rtdserver",, "IBOV_B_0", "VPJ")</f>
        <v>#N/A</v>
      </c>
      <c r="AA23" t="e">
        <f>RTD("rtdtrading.rtdserver",, "IBOV_B_0", "SEM")</f>
        <v>#N/A</v>
      </c>
      <c r="AB23" t="e">
        <f>RTD("rtdtrading.rtdserver",, "IBOV_B_0", "MES")</f>
        <v>#N/A</v>
      </c>
      <c r="AC23" t="e">
        <f>RTD("rtdtrading.rtdserver",, "IBOV_B_0", "3M")</f>
        <v>#N/A</v>
      </c>
      <c r="AD23" t="e">
        <f>RTD("rtdtrading.rtdserver",, "IBOV_B_0", "6M")</f>
        <v>#N/A</v>
      </c>
      <c r="AE23" t="e">
        <f>RTD("rtdtrading.rtdserver",, "IBOV_B_0", "12M")</f>
        <v>#N/A</v>
      </c>
      <c r="AF23" t="e">
        <f>RTD("rtdtrading.rtdserver",, "IBOV_B_0", "ANO")</f>
        <v>#N/A</v>
      </c>
      <c r="AG23" t="e">
        <f>RTD("rtdtrading.rtdserver",, "IBOV_B_0", "TRIM")</f>
        <v>#N/A</v>
      </c>
      <c r="AH23" t="e">
        <f>RTD("rtdtrading.rtdserver",, "IBOV_B_0", "SEMES")</f>
        <v>#N/A</v>
      </c>
      <c r="AI23" t="e">
        <f>RTD("rtdtrading.rtdserver",, "IBOV_B_0", "VEN")</f>
        <v>#N/A</v>
      </c>
      <c r="AJ23" t="e">
        <f>RTD("rtdtrading.rtdserver",, "IBOV_B_0", "VAL")</f>
        <v>#N/A</v>
      </c>
      <c r="AK23" t="e">
        <f>RTD("rtdtrading.rtdserver",, "IBOV_B_0", "CAB")</f>
        <v>#N/A</v>
      </c>
      <c r="AL23" t="e">
        <f>RTD("rtdtrading.rtdserver",, "IBOV_B_0", "EST")</f>
        <v>#N/A</v>
      </c>
      <c r="AM23" t="e">
        <f>RTD("rtdtrading.rtdserver",, "IBOV_B_0", "BLACK")</f>
        <v>#N/A</v>
      </c>
      <c r="AN23" t="e">
        <f>RTD("rtdtrading.rtdserver",, "IBOV_B_0", "IMPVT")</f>
        <v>#N/A</v>
      </c>
      <c r="AO23" t="e">
        <f>RTD("rtdtrading.rtdserver",, "IBOV_B_0", "DELTA")</f>
        <v>#N/A</v>
      </c>
      <c r="AP23" t="e">
        <f>RTD("rtdtrading.rtdserver",, "IBOV_B_0", "GAMA")</f>
        <v>#N/A</v>
      </c>
      <c r="AQ23" t="e">
        <f>RTD("rtdtrading.rtdserver",, "IBOV_B_0", "THETA")</f>
        <v>#N/A</v>
      </c>
      <c r="AR23" t="e">
        <f>RTD("rtdtrading.rtdserver",, "IBOV_B_0", "RHO")</f>
        <v>#N/A</v>
      </c>
      <c r="AS23" t="e">
        <f>RTD("rtdtrading.rtdserver",, "IBOV_B_0", "VEGA")</f>
        <v>#N/A</v>
      </c>
      <c r="AT23" t="e">
        <f>RTD("rtdtrading.rtdserver",, "IBOV_B_0", "VIA")</f>
        <v>#N/A</v>
      </c>
      <c r="AU23" t="e">
        <f>RTD("rtdtrading.rtdserver",, "IBOV_B_0", "VIB")</f>
        <v>#N/A</v>
      </c>
      <c r="AV23" t="e">
        <f>RTD("rtdtrading.rtdserver",, "IBOV_B_0", "DOBRAR")</f>
        <v>#N/A</v>
      </c>
      <c r="AW23" t="e">
        <f>RTD("rtdtrading.rtdserver",, "IBOV_B_0", "VIVH")</f>
        <v>#N/A</v>
      </c>
      <c r="AX23" t="e">
        <f>RTD("rtdtrading.rtdserver",, "IBOV_B_0", "VINT")</f>
        <v>#N/A</v>
      </c>
      <c r="AY23" t="e">
        <f>RTD("rtdtrading.rtdserver",, "IBOV_B_0", "VEXT")</f>
        <v>#N/A</v>
      </c>
      <c r="AZ23" t="e">
        <f>RTD("rtdtrading.rtdserver",, "IBOV_B_0", "101_psicotrade")</f>
        <v>#N/A</v>
      </c>
      <c r="BA23" t="e">
        <f>RTD("rtdtrading.rtdserver",, "IBOV_B_0", "67")</f>
        <v>#N/A</v>
      </c>
    </row>
    <row r="24" spans="1:53" x14ac:dyDescent="0.35">
      <c r="A24" t="s">
        <v>95</v>
      </c>
      <c r="B24" t="e">
        <f>RTD("rtdtrading.rtdserver",, "USIM5_B_0", "DAT")</f>
        <v>#N/A</v>
      </c>
      <c r="C24" t="e">
        <f>RTD("rtdtrading.rtdserver",, "USIM5_B_0", "HOR")</f>
        <v>#N/A</v>
      </c>
      <c r="D24" t="e">
        <f>RTD("rtdtrading.rtdserver",, "USIM5_B_0", "ULT")</f>
        <v>#N/A</v>
      </c>
      <c r="E24" t="e">
        <f>RTD("rtdtrading.rtdserver",, "USIM5_B_0", "ABE")</f>
        <v>#N/A</v>
      </c>
      <c r="F24" t="e">
        <f>RTD("rtdtrading.rtdserver",, "USIM5_B_0", "MAX")</f>
        <v>#N/A</v>
      </c>
      <c r="G24" t="e">
        <f>RTD("rtdtrading.rtdserver",, "USIM5_B_0", "MIN")</f>
        <v>#N/A</v>
      </c>
      <c r="H24" t="e">
        <f>RTD("rtdtrading.rtdserver",, "USIM5_B_0", "FEC")</f>
        <v>#N/A</v>
      </c>
      <c r="I24" t="e">
        <f>RTD("rtdtrading.rtdserver",, "USIM5_B_0", "PEX")</f>
        <v>#N/A</v>
      </c>
      <c r="J24" t="e">
        <f>RTD("rtdtrading.rtdserver",, "USIM5_B_0", "VAR")</f>
        <v>#N/A</v>
      </c>
      <c r="K24" t="e">
        <f>RTD("rtdtrading.rtdserver",, "USIM5_B_0", "VARPTS")</f>
        <v>#N/A</v>
      </c>
      <c r="L24" t="e">
        <f>RTD("rtdtrading.rtdserver",, "USIM5_B_0", "MED")</f>
        <v>#N/A</v>
      </c>
      <c r="M24" t="s">
        <v>96</v>
      </c>
      <c r="N24" t="e">
        <f>RTD("rtdtrading.rtdserver",, "USIM5_B_0", "NEG")</f>
        <v>#N/A</v>
      </c>
      <c r="O24" t="e">
        <f>RTD("rtdtrading.rtdserver",, "USIM5_B_0", "QUL")</f>
        <v>#N/A</v>
      </c>
      <c r="P24" t="e">
        <f>RTD("rtdtrading.rtdserver",, "USIM5_B_0", "QTT")</f>
        <v>#N/A</v>
      </c>
      <c r="Q24" t="e">
        <f>RTD("rtdtrading.rtdserver",, "USIM5_B_0", "VOL")</f>
        <v>#N/A</v>
      </c>
      <c r="R24" t="e">
        <f>RTD("rtdtrading.rtdserver",, "USIM5_B_0", "OCP")</f>
        <v>#N/A</v>
      </c>
      <c r="S24" t="e">
        <f>RTD("rtdtrading.rtdserver",, "USIM5_B_0", "OVD")</f>
        <v>#N/A</v>
      </c>
      <c r="T24" t="e">
        <f>RTD("rtdtrading.rtdserver",, "USIM5_B_0", "VOC")</f>
        <v>#N/A</v>
      </c>
      <c r="U24" t="e">
        <f>RTD("rtdtrading.rtdserver",, "USIM5_B_0", "VOV")</f>
        <v>#N/A</v>
      </c>
      <c r="V24" t="e">
        <f>RTD("rtdtrading.rtdserver",, "USIM5_B_0", "AJU")</f>
        <v>#N/A</v>
      </c>
      <c r="W24" t="e">
        <f>RTD("rtdtrading.rtdserver",, "USIM5_B_0", "AJA")</f>
        <v>#N/A</v>
      </c>
      <c r="X24" t="e">
        <f>RTD("rtdtrading.rtdserver",, "USIM5_B_0", "PRT")</f>
        <v>#N/A</v>
      </c>
      <c r="Y24" t="e">
        <f>RTD("rtdtrading.rtdserver",, "USIM5_B_0", "QTE")</f>
        <v>#N/A</v>
      </c>
      <c r="Z24" t="e">
        <f>RTD("rtdtrading.rtdserver",, "USIM5_B_0", "VPJ")</f>
        <v>#N/A</v>
      </c>
      <c r="AA24" t="e">
        <f>RTD("rtdtrading.rtdserver",, "USIM5_B_0", "SEM")</f>
        <v>#N/A</v>
      </c>
      <c r="AB24" t="e">
        <f>RTD("rtdtrading.rtdserver",, "USIM5_B_0", "MES")</f>
        <v>#N/A</v>
      </c>
      <c r="AC24" t="e">
        <f>RTD("rtdtrading.rtdserver",, "USIM5_B_0", "3M")</f>
        <v>#N/A</v>
      </c>
      <c r="AD24" t="e">
        <f>RTD("rtdtrading.rtdserver",, "USIM5_B_0", "6M")</f>
        <v>#N/A</v>
      </c>
      <c r="AE24" t="e">
        <f>RTD("rtdtrading.rtdserver",, "USIM5_B_0", "12M")</f>
        <v>#N/A</v>
      </c>
      <c r="AF24" t="e">
        <f>RTD("rtdtrading.rtdserver",, "USIM5_B_0", "ANO")</f>
        <v>#N/A</v>
      </c>
      <c r="AG24" t="e">
        <f>RTD("rtdtrading.rtdserver",, "USIM5_B_0", "TRIM")</f>
        <v>#N/A</v>
      </c>
      <c r="AH24" t="e">
        <f>RTD("rtdtrading.rtdserver",, "USIM5_B_0", "SEMES")</f>
        <v>#N/A</v>
      </c>
      <c r="AI24" t="e">
        <f>RTD("rtdtrading.rtdserver",, "USIM5_B_0", "VEN")</f>
        <v>#N/A</v>
      </c>
      <c r="AJ24" t="e">
        <f>RTD("rtdtrading.rtdserver",, "USIM5_B_0", "VAL")</f>
        <v>#N/A</v>
      </c>
      <c r="AK24" t="e">
        <f>RTD("rtdtrading.rtdserver",, "USIM5_B_0", "CAB")</f>
        <v>#N/A</v>
      </c>
      <c r="AL24" t="e">
        <f>RTD("rtdtrading.rtdserver",, "USIM5_B_0", "EST")</f>
        <v>#N/A</v>
      </c>
      <c r="AM24" t="e">
        <f>RTD("rtdtrading.rtdserver",, "USIM5_B_0", "BLACK")</f>
        <v>#N/A</v>
      </c>
      <c r="AN24" t="e">
        <f>RTD("rtdtrading.rtdserver",, "USIM5_B_0", "IMPVT")</f>
        <v>#N/A</v>
      </c>
      <c r="AO24" t="e">
        <f>RTD("rtdtrading.rtdserver",, "USIM5_B_0", "DELTA")</f>
        <v>#N/A</v>
      </c>
      <c r="AP24" t="e">
        <f>RTD("rtdtrading.rtdserver",, "USIM5_B_0", "GAMA")</f>
        <v>#N/A</v>
      </c>
      <c r="AQ24" t="e">
        <f>RTD("rtdtrading.rtdserver",, "USIM5_B_0", "THETA")</f>
        <v>#N/A</v>
      </c>
      <c r="AR24" t="e">
        <f>RTD("rtdtrading.rtdserver",, "USIM5_B_0", "RHO")</f>
        <v>#N/A</v>
      </c>
      <c r="AS24" t="e">
        <f>RTD("rtdtrading.rtdserver",, "USIM5_B_0", "VEGA")</f>
        <v>#N/A</v>
      </c>
      <c r="AT24" t="e">
        <f>RTD("rtdtrading.rtdserver",, "USIM5_B_0", "VIA")</f>
        <v>#N/A</v>
      </c>
      <c r="AU24" t="e">
        <f>RTD("rtdtrading.rtdserver",, "USIM5_B_0", "VIB")</f>
        <v>#N/A</v>
      </c>
      <c r="AV24" t="e">
        <f>RTD("rtdtrading.rtdserver",, "USIM5_B_0", "DOBRAR")</f>
        <v>#N/A</v>
      </c>
      <c r="AW24" t="e">
        <f>RTD("rtdtrading.rtdserver",, "USIM5_B_0", "VIVH")</f>
        <v>#N/A</v>
      </c>
      <c r="AX24" t="e">
        <f>RTD("rtdtrading.rtdserver",, "USIM5_B_0", "VINT")</f>
        <v>#N/A</v>
      </c>
      <c r="AY24" t="e">
        <f>RTD("rtdtrading.rtdserver",, "USIM5_B_0", "VEXT")</f>
        <v>#N/A</v>
      </c>
      <c r="AZ24" t="e">
        <f>RTD("rtdtrading.rtdserver",, "USIM5_B_0", "101_psicotrade")</f>
        <v>#N/A</v>
      </c>
      <c r="BA24" t="e">
        <f>RTD("rtdtrading.rtdserver",, "USIM5_B_0", "67")</f>
        <v>#N/A</v>
      </c>
    </row>
    <row r="25" spans="1:53" x14ac:dyDescent="0.35">
      <c r="A25" t="s">
        <v>97</v>
      </c>
      <c r="B25" t="e">
        <f>RTD("rtdtrading.rtdserver",, "GGBR4_B_0", "DAT")</f>
        <v>#N/A</v>
      </c>
      <c r="C25" t="e">
        <f>RTD("rtdtrading.rtdserver",, "GGBR4_B_0", "HOR")</f>
        <v>#N/A</v>
      </c>
      <c r="D25" t="e">
        <f>RTD("rtdtrading.rtdserver",, "GGBR4_B_0", "ULT")</f>
        <v>#N/A</v>
      </c>
      <c r="E25" t="e">
        <f>RTD("rtdtrading.rtdserver",, "GGBR4_B_0", "ABE")</f>
        <v>#N/A</v>
      </c>
      <c r="F25" t="e">
        <f>RTD("rtdtrading.rtdserver",, "GGBR4_B_0", "MAX")</f>
        <v>#N/A</v>
      </c>
      <c r="G25" t="e">
        <f>RTD("rtdtrading.rtdserver",, "GGBR4_B_0", "MIN")</f>
        <v>#N/A</v>
      </c>
      <c r="H25" t="e">
        <f>RTD("rtdtrading.rtdserver",, "GGBR4_B_0", "FEC")</f>
        <v>#N/A</v>
      </c>
      <c r="I25" t="e">
        <f>RTD("rtdtrading.rtdserver",, "GGBR4_B_0", "PEX")</f>
        <v>#N/A</v>
      </c>
      <c r="J25" t="e">
        <f>RTD("rtdtrading.rtdserver",, "GGBR4_B_0", "VAR")</f>
        <v>#N/A</v>
      </c>
      <c r="K25" t="e">
        <f>RTD("rtdtrading.rtdserver",, "GGBR4_B_0", "VARPTS")</f>
        <v>#N/A</v>
      </c>
      <c r="L25" t="e">
        <f>RTD("rtdtrading.rtdserver",, "GGBR4_B_0", "MED")</f>
        <v>#N/A</v>
      </c>
      <c r="M25" t="s">
        <v>109</v>
      </c>
      <c r="N25" t="e">
        <f>RTD("rtdtrading.rtdserver",, "GGBR4_B_0", "NEG")</f>
        <v>#N/A</v>
      </c>
      <c r="O25" t="e">
        <f>RTD("rtdtrading.rtdserver",, "GGBR4_B_0", "QUL")</f>
        <v>#N/A</v>
      </c>
      <c r="P25" t="e">
        <f>RTD("rtdtrading.rtdserver",, "GGBR4_B_0", "QTT")</f>
        <v>#N/A</v>
      </c>
      <c r="Q25" t="e">
        <f>RTD("rtdtrading.rtdserver",, "GGBR4_B_0", "VOL")</f>
        <v>#N/A</v>
      </c>
      <c r="R25" t="e">
        <f>RTD("rtdtrading.rtdserver",, "GGBR4_B_0", "OCP")</f>
        <v>#N/A</v>
      </c>
      <c r="S25" t="e">
        <f>RTD("rtdtrading.rtdserver",, "GGBR4_B_0", "OVD")</f>
        <v>#N/A</v>
      </c>
      <c r="T25" t="e">
        <f>RTD("rtdtrading.rtdserver",, "GGBR4_B_0", "VOC")</f>
        <v>#N/A</v>
      </c>
      <c r="U25" t="e">
        <f>RTD("rtdtrading.rtdserver",, "GGBR4_B_0", "VOV")</f>
        <v>#N/A</v>
      </c>
      <c r="V25" t="e">
        <f>RTD("rtdtrading.rtdserver",, "GGBR4_B_0", "AJU")</f>
        <v>#N/A</v>
      </c>
      <c r="W25" t="e">
        <f>RTD("rtdtrading.rtdserver",, "GGBR4_B_0", "AJA")</f>
        <v>#N/A</v>
      </c>
      <c r="X25" t="e">
        <f>RTD("rtdtrading.rtdserver",, "GGBR4_B_0", "PRT")</f>
        <v>#N/A</v>
      </c>
      <c r="Y25" t="e">
        <f>RTD("rtdtrading.rtdserver",, "GGBR4_B_0", "QTE")</f>
        <v>#N/A</v>
      </c>
      <c r="Z25" t="e">
        <f>RTD("rtdtrading.rtdserver",, "GGBR4_B_0", "VPJ")</f>
        <v>#N/A</v>
      </c>
      <c r="AA25" t="e">
        <f>RTD("rtdtrading.rtdserver",, "GGBR4_B_0", "SEM")</f>
        <v>#N/A</v>
      </c>
      <c r="AB25" t="e">
        <f>RTD("rtdtrading.rtdserver",, "GGBR4_B_0", "MES")</f>
        <v>#N/A</v>
      </c>
      <c r="AC25" t="e">
        <f>RTD("rtdtrading.rtdserver",, "GGBR4_B_0", "3M")</f>
        <v>#N/A</v>
      </c>
      <c r="AD25" t="e">
        <f>RTD("rtdtrading.rtdserver",, "GGBR4_B_0", "6M")</f>
        <v>#N/A</v>
      </c>
      <c r="AE25" t="e">
        <f>RTD("rtdtrading.rtdserver",, "GGBR4_B_0", "12M")</f>
        <v>#N/A</v>
      </c>
      <c r="AF25" t="e">
        <f>RTD("rtdtrading.rtdserver",, "GGBR4_B_0", "ANO")</f>
        <v>#N/A</v>
      </c>
      <c r="AG25" t="e">
        <f>RTD("rtdtrading.rtdserver",, "GGBR4_B_0", "TRIM")</f>
        <v>#N/A</v>
      </c>
      <c r="AH25" t="e">
        <f>RTD("rtdtrading.rtdserver",, "GGBR4_B_0", "SEMES")</f>
        <v>#N/A</v>
      </c>
      <c r="AI25" t="e">
        <f>RTD("rtdtrading.rtdserver",, "GGBR4_B_0", "VEN")</f>
        <v>#N/A</v>
      </c>
      <c r="AJ25" t="e">
        <f>RTD("rtdtrading.rtdserver",, "GGBR4_B_0", "VAL")</f>
        <v>#N/A</v>
      </c>
      <c r="AK25" t="e">
        <f>RTD("rtdtrading.rtdserver",, "GGBR4_B_0", "CAB")</f>
        <v>#N/A</v>
      </c>
      <c r="AL25" t="e">
        <f>RTD("rtdtrading.rtdserver",, "GGBR4_B_0", "EST")</f>
        <v>#N/A</v>
      </c>
      <c r="AM25" t="e">
        <f>RTD("rtdtrading.rtdserver",, "GGBR4_B_0", "BLACK")</f>
        <v>#N/A</v>
      </c>
      <c r="AN25" t="e">
        <f>RTD("rtdtrading.rtdserver",, "GGBR4_B_0", "IMPVT")</f>
        <v>#N/A</v>
      </c>
      <c r="AO25" t="e">
        <f>RTD("rtdtrading.rtdserver",, "GGBR4_B_0", "DELTA")</f>
        <v>#N/A</v>
      </c>
      <c r="AP25" t="e">
        <f>RTD("rtdtrading.rtdserver",, "GGBR4_B_0", "GAMA")</f>
        <v>#N/A</v>
      </c>
      <c r="AQ25" t="e">
        <f>RTD("rtdtrading.rtdserver",, "GGBR4_B_0", "THETA")</f>
        <v>#N/A</v>
      </c>
      <c r="AR25" t="e">
        <f>RTD("rtdtrading.rtdserver",, "GGBR4_B_0", "RHO")</f>
        <v>#N/A</v>
      </c>
      <c r="AS25" t="e">
        <f>RTD("rtdtrading.rtdserver",, "GGBR4_B_0", "VEGA")</f>
        <v>#N/A</v>
      </c>
      <c r="AT25" t="e">
        <f>RTD("rtdtrading.rtdserver",, "GGBR4_B_0", "VIA")</f>
        <v>#N/A</v>
      </c>
      <c r="AU25" t="e">
        <f>RTD("rtdtrading.rtdserver",, "GGBR4_B_0", "VIB")</f>
        <v>#N/A</v>
      </c>
      <c r="AV25" t="e">
        <f>RTD("rtdtrading.rtdserver",, "GGBR4_B_0", "DOBRAR")</f>
        <v>#N/A</v>
      </c>
      <c r="AW25" t="e">
        <f>RTD("rtdtrading.rtdserver",, "GGBR4_B_0", "VIVH")</f>
        <v>#N/A</v>
      </c>
      <c r="AX25" t="e">
        <f>RTD("rtdtrading.rtdserver",, "GGBR4_B_0", "VINT")</f>
        <v>#N/A</v>
      </c>
      <c r="AY25" t="e">
        <f>RTD("rtdtrading.rtdserver",, "GGBR4_B_0", "VEXT")</f>
        <v>#N/A</v>
      </c>
      <c r="AZ25" t="e">
        <f>RTD("rtdtrading.rtdserver",, "GGBR4_B_0", "101_psicotrade")</f>
        <v>#N/A</v>
      </c>
      <c r="BA25" t="e">
        <f>RTD("rtdtrading.rtdserver",, "GGBR4_B_0", "67")</f>
        <v>#N/A</v>
      </c>
    </row>
    <row r="26" spans="1:53" x14ac:dyDescent="0.35">
      <c r="A26" t="s">
        <v>98</v>
      </c>
      <c r="B26" t="e">
        <f>RTD("rtdtrading.rtdserver",, "ABEV3_B_0", "DAT")</f>
        <v>#N/A</v>
      </c>
      <c r="C26" t="e">
        <f>RTD("rtdtrading.rtdserver",, "ABEV3_B_0", "HOR")</f>
        <v>#N/A</v>
      </c>
      <c r="D26" t="e">
        <f>RTD("rtdtrading.rtdserver",, "ABEV3_B_0", "ULT")</f>
        <v>#N/A</v>
      </c>
      <c r="E26" t="e">
        <f>RTD("rtdtrading.rtdserver",, "ABEV3_B_0", "ABE")</f>
        <v>#N/A</v>
      </c>
      <c r="F26" t="e">
        <f>RTD("rtdtrading.rtdserver",, "ABEV3_B_0", "MAX")</f>
        <v>#N/A</v>
      </c>
      <c r="G26" t="e">
        <f>RTD("rtdtrading.rtdserver",, "ABEV3_B_0", "MIN")</f>
        <v>#N/A</v>
      </c>
      <c r="H26" t="e">
        <f>RTD("rtdtrading.rtdserver",, "ABEV3_B_0", "FEC")</f>
        <v>#N/A</v>
      </c>
      <c r="I26" t="e">
        <f>RTD("rtdtrading.rtdserver",, "ABEV3_B_0", "PEX")</f>
        <v>#N/A</v>
      </c>
      <c r="J26" t="e">
        <f>RTD("rtdtrading.rtdserver",, "ABEV3_B_0", "VAR")</f>
        <v>#N/A</v>
      </c>
      <c r="K26" t="e">
        <f>RTD("rtdtrading.rtdserver",, "ABEV3_B_0", "VARPTS")</f>
        <v>#N/A</v>
      </c>
      <c r="L26" t="e">
        <f>RTD("rtdtrading.rtdserver",, "ABEV3_B_0", "MED")</f>
        <v>#N/A</v>
      </c>
      <c r="M26" t="s">
        <v>110</v>
      </c>
      <c r="N26" t="e">
        <f>RTD("rtdtrading.rtdserver",, "ABEV3_B_0", "NEG")</f>
        <v>#N/A</v>
      </c>
      <c r="O26" t="e">
        <f>RTD("rtdtrading.rtdserver",, "ABEV3_B_0", "QUL")</f>
        <v>#N/A</v>
      </c>
      <c r="P26" t="e">
        <f>RTD("rtdtrading.rtdserver",, "ABEV3_B_0", "QTT")</f>
        <v>#N/A</v>
      </c>
      <c r="Q26" t="e">
        <f>RTD("rtdtrading.rtdserver",, "ABEV3_B_0", "VOL")</f>
        <v>#N/A</v>
      </c>
      <c r="R26" t="e">
        <f>RTD("rtdtrading.rtdserver",, "ABEV3_B_0", "OCP")</f>
        <v>#N/A</v>
      </c>
      <c r="S26" t="e">
        <f>RTD("rtdtrading.rtdserver",, "ABEV3_B_0", "OVD")</f>
        <v>#N/A</v>
      </c>
      <c r="T26" t="e">
        <f>RTD("rtdtrading.rtdserver",, "ABEV3_B_0", "VOC")</f>
        <v>#N/A</v>
      </c>
      <c r="U26" t="e">
        <f>RTD("rtdtrading.rtdserver",, "ABEV3_B_0", "VOV")</f>
        <v>#N/A</v>
      </c>
      <c r="V26" t="e">
        <f>RTD("rtdtrading.rtdserver",, "ABEV3_B_0", "AJU")</f>
        <v>#N/A</v>
      </c>
      <c r="W26" t="e">
        <f>RTD("rtdtrading.rtdserver",, "ABEV3_B_0", "AJA")</f>
        <v>#N/A</v>
      </c>
      <c r="X26" t="e">
        <f>RTD("rtdtrading.rtdserver",, "ABEV3_B_0", "PRT")</f>
        <v>#N/A</v>
      </c>
      <c r="Y26" t="e">
        <f>RTD("rtdtrading.rtdserver",, "ABEV3_B_0", "QTE")</f>
        <v>#N/A</v>
      </c>
      <c r="Z26" t="e">
        <f>RTD("rtdtrading.rtdserver",, "ABEV3_B_0", "VPJ")</f>
        <v>#N/A</v>
      </c>
      <c r="AA26" t="e">
        <f>RTD("rtdtrading.rtdserver",, "ABEV3_B_0", "SEM")</f>
        <v>#N/A</v>
      </c>
      <c r="AB26" t="e">
        <f>RTD("rtdtrading.rtdserver",, "ABEV3_B_0", "MES")</f>
        <v>#N/A</v>
      </c>
      <c r="AC26" t="e">
        <f>RTD("rtdtrading.rtdserver",, "ABEV3_B_0", "3M")</f>
        <v>#N/A</v>
      </c>
      <c r="AD26" t="e">
        <f>RTD("rtdtrading.rtdserver",, "ABEV3_B_0", "6M")</f>
        <v>#N/A</v>
      </c>
      <c r="AE26" t="e">
        <f>RTD("rtdtrading.rtdserver",, "ABEV3_B_0", "12M")</f>
        <v>#N/A</v>
      </c>
      <c r="AF26" t="e">
        <f>RTD("rtdtrading.rtdserver",, "ABEV3_B_0", "ANO")</f>
        <v>#N/A</v>
      </c>
      <c r="AG26" t="e">
        <f>RTD("rtdtrading.rtdserver",, "ABEV3_B_0", "TRIM")</f>
        <v>#N/A</v>
      </c>
      <c r="AH26" t="e">
        <f>RTD("rtdtrading.rtdserver",, "ABEV3_B_0", "SEMES")</f>
        <v>#N/A</v>
      </c>
      <c r="AI26" t="e">
        <f>RTD("rtdtrading.rtdserver",, "ABEV3_B_0", "VEN")</f>
        <v>#N/A</v>
      </c>
      <c r="AJ26" t="e">
        <f>RTD("rtdtrading.rtdserver",, "ABEV3_B_0", "VAL")</f>
        <v>#N/A</v>
      </c>
      <c r="AK26" t="e">
        <f>RTD("rtdtrading.rtdserver",, "ABEV3_B_0", "CAB")</f>
        <v>#N/A</v>
      </c>
      <c r="AL26" t="e">
        <f>RTD("rtdtrading.rtdserver",, "ABEV3_B_0", "EST")</f>
        <v>#N/A</v>
      </c>
      <c r="AM26" t="e">
        <f>RTD("rtdtrading.rtdserver",, "ABEV3_B_0", "BLACK")</f>
        <v>#N/A</v>
      </c>
      <c r="AN26" t="e">
        <f>RTD("rtdtrading.rtdserver",, "ABEV3_B_0", "IMPVT")</f>
        <v>#N/A</v>
      </c>
      <c r="AO26" t="e">
        <f>RTD("rtdtrading.rtdserver",, "ABEV3_B_0", "DELTA")</f>
        <v>#N/A</v>
      </c>
      <c r="AP26" t="e">
        <f>RTD("rtdtrading.rtdserver",, "ABEV3_B_0", "GAMA")</f>
        <v>#N/A</v>
      </c>
      <c r="AQ26" t="e">
        <f>RTD("rtdtrading.rtdserver",, "ABEV3_B_0", "THETA")</f>
        <v>#N/A</v>
      </c>
      <c r="AR26" t="e">
        <f>RTD("rtdtrading.rtdserver",, "ABEV3_B_0", "RHO")</f>
        <v>#N/A</v>
      </c>
      <c r="AS26" t="e">
        <f>RTD("rtdtrading.rtdserver",, "ABEV3_B_0", "VEGA")</f>
        <v>#N/A</v>
      </c>
      <c r="AT26" t="e">
        <f>RTD("rtdtrading.rtdserver",, "ABEV3_B_0", "VIA")</f>
        <v>#N/A</v>
      </c>
      <c r="AU26" t="e">
        <f>RTD("rtdtrading.rtdserver",, "ABEV3_B_0", "VIB")</f>
        <v>#N/A</v>
      </c>
      <c r="AV26" t="e">
        <f>RTD("rtdtrading.rtdserver",, "ABEV3_B_0", "DOBRAR")</f>
        <v>#N/A</v>
      </c>
      <c r="AW26" t="e">
        <f>RTD("rtdtrading.rtdserver",, "ABEV3_B_0", "VIVH")</f>
        <v>#N/A</v>
      </c>
      <c r="AX26" t="e">
        <f>RTD("rtdtrading.rtdserver",, "ABEV3_B_0", "VINT")</f>
        <v>#N/A</v>
      </c>
      <c r="AY26" t="e">
        <f>RTD("rtdtrading.rtdserver",, "ABEV3_B_0", "VEXT")</f>
        <v>#N/A</v>
      </c>
      <c r="AZ26" t="e">
        <f>RTD("rtdtrading.rtdserver",, "ABEV3_B_0", "101_psicotrade")</f>
        <v>#N/A</v>
      </c>
      <c r="BA26" t="e">
        <f>RTD("rtdtrading.rtdserver",, "ABEV3_B_0", "67")</f>
        <v>#N/A</v>
      </c>
    </row>
    <row r="27" spans="1:53" x14ac:dyDescent="0.35">
      <c r="A27" t="s">
        <v>99</v>
      </c>
      <c r="B27" t="e">
        <f>RTD("rtdtrading.rtdserver",, "GOAU4_B_0", "DAT")</f>
        <v>#N/A</v>
      </c>
      <c r="C27" t="e">
        <f>RTD("rtdtrading.rtdserver",, "GOAU4_B_0", "HOR")</f>
        <v>#N/A</v>
      </c>
      <c r="D27" t="e">
        <f>RTD("rtdtrading.rtdserver",, "GOAU4_B_0", "ULT")</f>
        <v>#N/A</v>
      </c>
      <c r="E27" t="e">
        <f>RTD("rtdtrading.rtdserver",, "GOAU4_B_0", "ABE")</f>
        <v>#N/A</v>
      </c>
      <c r="F27" t="e">
        <f>RTD("rtdtrading.rtdserver",, "GOAU4_B_0", "MAX")</f>
        <v>#N/A</v>
      </c>
      <c r="G27" t="e">
        <f>RTD("rtdtrading.rtdserver",, "GOAU4_B_0", "MIN")</f>
        <v>#N/A</v>
      </c>
      <c r="H27" t="e">
        <f>RTD("rtdtrading.rtdserver",, "GOAU4_B_0", "FEC")</f>
        <v>#N/A</v>
      </c>
      <c r="I27" t="e">
        <f>RTD("rtdtrading.rtdserver",, "GOAU4_B_0", "PEX")</f>
        <v>#N/A</v>
      </c>
      <c r="J27" t="e">
        <f>RTD("rtdtrading.rtdserver",, "GOAU4_B_0", "VAR")</f>
        <v>#N/A</v>
      </c>
      <c r="K27" t="e">
        <f>RTD("rtdtrading.rtdserver",, "GOAU4_B_0", "VARPTS")</f>
        <v>#N/A</v>
      </c>
      <c r="L27" t="e">
        <f>RTD("rtdtrading.rtdserver",, "GOAU4_B_0", "MED")</f>
        <v>#N/A</v>
      </c>
      <c r="M27" t="s">
        <v>111</v>
      </c>
      <c r="N27" t="e">
        <f>RTD("rtdtrading.rtdserver",, "GOAU4_B_0", "NEG")</f>
        <v>#N/A</v>
      </c>
      <c r="O27" t="e">
        <f>RTD("rtdtrading.rtdserver",, "GOAU4_B_0", "QUL")</f>
        <v>#N/A</v>
      </c>
      <c r="P27" t="e">
        <f>RTD("rtdtrading.rtdserver",, "GOAU4_B_0", "QTT")</f>
        <v>#N/A</v>
      </c>
      <c r="Q27" t="e">
        <f>RTD("rtdtrading.rtdserver",, "GOAU4_B_0", "VOL")</f>
        <v>#N/A</v>
      </c>
      <c r="R27" t="e">
        <f>RTD("rtdtrading.rtdserver",, "GOAU4_B_0", "OCP")</f>
        <v>#N/A</v>
      </c>
      <c r="S27" t="e">
        <f>RTD("rtdtrading.rtdserver",, "GOAU4_B_0", "OVD")</f>
        <v>#N/A</v>
      </c>
      <c r="T27" t="e">
        <f>RTD("rtdtrading.rtdserver",, "GOAU4_B_0", "VOC")</f>
        <v>#N/A</v>
      </c>
      <c r="U27" t="e">
        <f>RTD("rtdtrading.rtdserver",, "GOAU4_B_0", "VOV")</f>
        <v>#N/A</v>
      </c>
      <c r="V27" t="e">
        <f>RTD("rtdtrading.rtdserver",, "GOAU4_B_0", "AJU")</f>
        <v>#N/A</v>
      </c>
      <c r="W27" t="e">
        <f>RTD("rtdtrading.rtdserver",, "GOAU4_B_0", "AJA")</f>
        <v>#N/A</v>
      </c>
      <c r="X27" t="e">
        <f>RTD("rtdtrading.rtdserver",, "GOAU4_B_0", "PRT")</f>
        <v>#N/A</v>
      </c>
      <c r="Y27" t="e">
        <f>RTD("rtdtrading.rtdserver",, "GOAU4_B_0", "QTE")</f>
        <v>#N/A</v>
      </c>
      <c r="Z27" t="e">
        <f>RTD("rtdtrading.rtdserver",, "GOAU4_B_0", "VPJ")</f>
        <v>#N/A</v>
      </c>
      <c r="AA27" t="e">
        <f>RTD("rtdtrading.rtdserver",, "GOAU4_B_0", "SEM")</f>
        <v>#N/A</v>
      </c>
      <c r="AB27" t="e">
        <f>RTD("rtdtrading.rtdserver",, "GOAU4_B_0", "MES")</f>
        <v>#N/A</v>
      </c>
      <c r="AC27" t="e">
        <f>RTD("rtdtrading.rtdserver",, "GOAU4_B_0", "3M")</f>
        <v>#N/A</v>
      </c>
      <c r="AD27" t="e">
        <f>RTD("rtdtrading.rtdserver",, "GOAU4_B_0", "6M")</f>
        <v>#N/A</v>
      </c>
      <c r="AE27" t="e">
        <f>RTD("rtdtrading.rtdserver",, "GOAU4_B_0", "12M")</f>
        <v>#N/A</v>
      </c>
      <c r="AF27" t="e">
        <f>RTD("rtdtrading.rtdserver",, "GOAU4_B_0", "ANO")</f>
        <v>#N/A</v>
      </c>
      <c r="AG27" t="e">
        <f>RTD("rtdtrading.rtdserver",, "GOAU4_B_0", "TRIM")</f>
        <v>#N/A</v>
      </c>
      <c r="AH27" t="e">
        <f>RTD("rtdtrading.rtdserver",, "GOAU4_B_0", "SEMES")</f>
        <v>#N/A</v>
      </c>
      <c r="AI27" t="e">
        <f>RTD("rtdtrading.rtdserver",, "GOAU4_B_0", "VEN")</f>
        <v>#N/A</v>
      </c>
      <c r="AJ27" t="e">
        <f>RTD("rtdtrading.rtdserver",, "GOAU4_B_0", "VAL")</f>
        <v>#N/A</v>
      </c>
      <c r="AK27" t="e">
        <f>RTD("rtdtrading.rtdserver",, "GOAU4_B_0", "CAB")</f>
        <v>#N/A</v>
      </c>
      <c r="AL27" t="e">
        <f>RTD("rtdtrading.rtdserver",, "GOAU4_B_0", "EST")</f>
        <v>#N/A</v>
      </c>
      <c r="AM27" t="e">
        <f>RTD("rtdtrading.rtdserver",, "GOAU4_B_0", "BLACK")</f>
        <v>#N/A</v>
      </c>
      <c r="AN27" t="e">
        <f>RTD("rtdtrading.rtdserver",, "GOAU4_B_0", "IMPVT")</f>
        <v>#N/A</v>
      </c>
      <c r="AO27" t="e">
        <f>RTD("rtdtrading.rtdserver",, "GOAU4_B_0", "DELTA")</f>
        <v>#N/A</v>
      </c>
      <c r="AP27" t="e">
        <f>RTD("rtdtrading.rtdserver",, "GOAU4_B_0", "GAMA")</f>
        <v>#N/A</v>
      </c>
      <c r="AQ27" t="e">
        <f>RTD("rtdtrading.rtdserver",, "GOAU4_B_0", "THETA")</f>
        <v>#N/A</v>
      </c>
      <c r="AR27" t="e">
        <f>RTD("rtdtrading.rtdserver",, "GOAU4_B_0", "RHO")</f>
        <v>#N/A</v>
      </c>
      <c r="AS27" t="e">
        <f>RTD("rtdtrading.rtdserver",, "GOAU4_B_0", "VEGA")</f>
        <v>#N/A</v>
      </c>
      <c r="AT27" t="e">
        <f>RTD("rtdtrading.rtdserver",, "GOAU4_B_0", "VIA")</f>
        <v>#N/A</v>
      </c>
      <c r="AU27" t="e">
        <f>RTD("rtdtrading.rtdserver",, "GOAU4_B_0", "VIB")</f>
        <v>#N/A</v>
      </c>
      <c r="AV27" t="e">
        <f>RTD("rtdtrading.rtdserver",, "GOAU4_B_0", "DOBRAR")</f>
        <v>#N/A</v>
      </c>
      <c r="AW27" t="e">
        <f>RTD("rtdtrading.rtdserver",, "GOAU4_B_0", "VIVH")</f>
        <v>#N/A</v>
      </c>
      <c r="AX27" t="e">
        <f>RTD("rtdtrading.rtdserver",, "GOAU4_B_0", "VINT")</f>
        <v>#N/A</v>
      </c>
      <c r="AY27" t="e">
        <f>RTD("rtdtrading.rtdserver",, "GOAU4_B_0", "VEXT")</f>
        <v>#N/A</v>
      </c>
      <c r="AZ27" t="e">
        <f>RTD("rtdtrading.rtdserver",, "GOAU4_B_0", "101_psicotrade")</f>
        <v>#N/A</v>
      </c>
      <c r="BA27" t="e">
        <f>RTD("rtdtrading.rtdserver",, "GOAU4_B_0", "67")</f>
        <v>#N/A</v>
      </c>
    </row>
    <row r="28" spans="1:53" x14ac:dyDescent="0.35">
      <c r="A28" t="s">
        <v>100</v>
      </c>
      <c r="B28" t="e">
        <f>RTD("rtdtrading.rtdserver",, "B3SA3_B_0", "DAT")</f>
        <v>#N/A</v>
      </c>
      <c r="C28" t="e">
        <f>RTD("rtdtrading.rtdserver",, "B3SA3_B_0", "HOR")</f>
        <v>#N/A</v>
      </c>
      <c r="D28" t="e">
        <f>RTD("rtdtrading.rtdserver",, "B3SA3_B_0", "ULT")</f>
        <v>#N/A</v>
      </c>
      <c r="E28" t="e">
        <f>RTD("rtdtrading.rtdserver",, "B3SA3_B_0", "ABE")</f>
        <v>#N/A</v>
      </c>
      <c r="F28" t="e">
        <f>RTD("rtdtrading.rtdserver",, "B3SA3_B_0", "MAX")</f>
        <v>#N/A</v>
      </c>
      <c r="G28" t="e">
        <f>RTD("rtdtrading.rtdserver",, "B3SA3_B_0", "MIN")</f>
        <v>#N/A</v>
      </c>
      <c r="H28" t="e">
        <f>RTD("rtdtrading.rtdserver",, "B3SA3_B_0", "FEC")</f>
        <v>#N/A</v>
      </c>
      <c r="I28" t="e">
        <f>RTD("rtdtrading.rtdserver",, "B3SA3_B_0", "PEX")</f>
        <v>#N/A</v>
      </c>
      <c r="J28" t="e">
        <f>RTD("rtdtrading.rtdserver",, "B3SA3_B_0", "VAR")</f>
        <v>#N/A</v>
      </c>
      <c r="K28" t="e">
        <f>RTD("rtdtrading.rtdserver",, "B3SA3_B_0", "VARPTS")</f>
        <v>#N/A</v>
      </c>
      <c r="L28" t="e">
        <f>RTD("rtdtrading.rtdserver",, "B3SA3_B_0", "MED")</f>
        <v>#N/A</v>
      </c>
      <c r="M28" t="s">
        <v>112</v>
      </c>
      <c r="N28" t="e">
        <f>RTD("rtdtrading.rtdserver",, "B3SA3_B_0", "NEG")</f>
        <v>#N/A</v>
      </c>
      <c r="O28" t="e">
        <f>RTD("rtdtrading.rtdserver",, "B3SA3_B_0", "QUL")</f>
        <v>#N/A</v>
      </c>
      <c r="P28" t="e">
        <f>RTD("rtdtrading.rtdserver",, "B3SA3_B_0", "QTT")</f>
        <v>#N/A</v>
      </c>
      <c r="Q28" t="e">
        <f>RTD("rtdtrading.rtdserver",, "B3SA3_B_0", "VOL")</f>
        <v>#N/A</v>
      </c>
      <c r="R28" t="e">
        <f>RTD("rtdtrading.rtdserver",, "B3SA3_B_0", "OCP")</f>
        <v>#N/A</v>
      </c>
      <c r="S28" t="e">
        <f>RTD("rtdtrading.rtdserver",, "B3SA3_B_0", "OVD")</f>
        <v>#N/A</v>
      </c>
      <c r="T28" t="e">
        <f>RTD("rtdtrading.rtdserver",, "B3SA3_B_0", "VOC")</f>
        <v>#N/A</v>
      </c>
      <c r="U28" t="e">
        <f>RTD("rtdtrading.rtdserver",, "B3SA3_B_0", "VOV")</f>
        <v>#N/A</v>
      </c>
      <c r="V28" t="e">
        <f>RTD("rtdtrading.rtdserver",, "B3SA3_B_0", "AJU")</f>
        <v>#N/A</v>
      </c>
      <c r="W28" t="e">
        <f>RTD("rtdtrading.rtdserver",, "B3SA3_B_0", "AJA")</f>
        <v>#N/A</v>
      </c>
      <c r="X28" t="e">
        <f>RTD("rtdtrading.rtdserver",, "B3SA3_B_0", "PRT")</f>
        <v>#N/A</v>
      </c>
      <c r="Y28" t="e">
        <f>RTD("rtdtrading.rtdserver",, "B3SA3_B_0", "QTE")</f>
        <v>#N/A</v>
      </c>
      <c r="Z28" t="e">
        <f>RTD("rtdtrading.rtdserver",, "B3SA3_B_0", "VPJ")</f>
        <v>#N/A</v>
      </c>
      <c r="AA28" t="e">
        <f>RTD("rtdtrading.rtdserver",, "B3SA3_B_0", "SEM")</f>
        <v>#N/A</v>
      </c>
      <c r="AB28" t="e">
        <f>RTD("rtdtrading.rtdserver",, "B3SA3_B_0", "MES")</f>
        <v>#N/A</v>
      </c>
      <c r="AC28" t="e">
        <f>RTD("rtdtrading.rtdserver",, "B3SA3_B_0", "3M")</f>
        <v>#N/A</v>
      </c>
      <c r="AD28" t="e">
        <f>RTD("rtdtrading.rtdserver",, "B3SA3_B_0", "6M")</f>
        <v>#N/A</v>
      </c>
      <c r="AE28" t="e">
        <f>RTD("rtdtrading.rtdserver",, "B3SA3_B_0", "12M")</f>
        <v>#N/A</v>
      </c>
      <c r="AF28" t="e">
        <f>RTD("rtdtrading.rtdserver",, "B3SA3_B_0", "ANO")</f>
        <v>#N/A</v>
      </c>
      <c r="AG28" t="e">
        <f>RTD("rtdtrading.rtdserver",, "B3SA3_B_0", "TRIM")</f>
        <v>#N/A</v>
      </c>
      <c r="AH28" t="e">
        <f>RTD("rtdtrading.rtdserver",, "B3SA3_B_0", "SEMES")</f>
        <v>#N/A</v>
      </c>
      <c r="AI28" t="e">
        <f>RTD("rtdtrading.rtdserver",, "B3SA3_B_0", "VEN")</f>
        <v>#N/A</v>
      </c>
      <c r="AJ28" t="e">
        <f>RTD("rtdtrading.rtdserver",, "B3SA3_B_0", "VAL")</f>
        <v>#N/A</v>
      </c>
      <c r="AK28" t="e">
        <f>RTD("rtdtrading.rtdserver",, "B3SA3_B_0", "CAB")</f>
        <v>#N/A</v>
      </c>
      <c r="AL28" t="e">
        <f>RTD("rtdtrading.rtdserver",, "B3SA3_B_0", "EST")</f>
        <v>#N/A</v>
      </c>
      <c r="AM28" t="e">
        <f>RTD("rtdtrading.rtdserver",, "B3SA3_B_0", "BLACK")</f>
        <v>#N/A</v>
      </c>
      <c r="AN28" t="e">
        <f>RTD("rtdtrading.rtdserver",, "B3SA3_B_0", "IMPVT")</f>
        <v>#N/A</v>
      </c>
      <c r="AO28" t="e">
        <f>RTD("rtdtrading.rtdserver",, "B3SA3_B_0", "DELTA")</f>
        <v>#N/A</v>
      </c>
      <c r="AP28" t="e">
        <f>RTD("rtdtrading.rtdserver",, "B3SA3_B_0", "GAMA")</f>
        <v>#N/A</v>
      </c>
      <c r="AQ28" t="e">
        <f>RTD("rtdtrading.rtdserver",, "B3SA3_B_0", "THETA")</f>
        <v>#N/A</v>
      </c>
      <c r="AR28" t="e">
        <f>RTD("rtdtrading.rtdserver",, "B3SA3_B_0", "RHO")</f>
        <v>#N/A</v>
      </c>
      <c r="AS28" t="e">
        <f>RTD("rtdtrading.rtdserver",, "B3SA3_B_0", "VEGA")</f>
        <v>#N/A</v>
      </c>
      <c r="AT28" t="e">
        <f>RTD("rtdtrading.rtdserver",, "B3SA3_B_0", "VIA")</f>
        <v>#N/A</v>
      </c>
      <c r="AU28" t="e">
        <f>RTD("rtdtrading.rtdserver",, "B3SA3_B_0", "VIB")</f>
        <v>#N/A</v>
      </c>
      <c r="AV28" t="e">
        <f>RTD("rtdtrading.rtdserver",, "B3SA3_B_0", "DOBRAR")</f>
        <v>#N/A</v>
      </c>
      <c r="AW28" t="e">
        <f>RTD("rtdtrading.rtdserver",, "B3SA3_B_0", "VIVH")</f>
        <v>#N/A</v>
      </c>
      <c r="AX28" t="e">
        <f>RTD("rtdtrading.rtdserver",, "B3SA3_B_0", "VINT")</f>
        <v>#N/A</v>
      </c>
      <c r="AY28" t="e">
        <f>RTD("rtdtrading.rtdserver",, "B3SA3_B_0", "VEXT")</f>
        <v>#N/A</v>
      </c>
      <c r="AZ28" t="e">
        <f>RTD("rtdtrading.rtdserver",, "B3SA3_B_0", "101_psicotrade")</f>
        <v>#N/A</v>
      </c>
      <c r="BA28" t="e">
        <f>RTD("rtdtrading.rtdserver",, "B3SA3_B_0", "67")</f>
        <v>#N/A</v>
      </c>
    </row>
    <row r="30" spans="1:53" x14ac:dyDescent="0.35">
      <c r="G30" s="1"/>
    </row>
    <row r="33" spans="11:11" x14ac:dyDescent="0.35">
      <c r="K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415F-C0D8-4194-8C2D-6FB040CFFA91}">
  <dimension ref="A1:BA4"/>
  <sheetViews>
    <sheetView zoomScale="55" zoomScaleNormal="55" workbookViewId="0">
      <selection sqref="A1:A1048576"/>
    </sheetView>
  </sheetViews>
  <sheetFormatPr defaultRowHeight="14.5" x14ac:dyDescent="0.35"/>
  <sheetData>
    <row r="1" spans="1: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101</v>
      </c>
      <c r="BA1" t="s">
        <v>51</v>
      </c>
    </row>
    <row r="2" spans="1:53" x14ac:dyDescent="0.35">
      <c r="A2" s="1" t="s">
        <v>52</v>
      </c>
      <c r="B2" s="1" t="e">
        <f>RTD("rtdtrading.rtdserver",, "WDOFUT_F_0", "DAT")</f>
        <v>#N/A</v>
      </c>
      <c r="C2" s="1" t="e">
        <f>RTD("rtdtrading.rtdserver",, "WDOFUT_F_0", "HOR")</f>
        <v>#N/A</v>
      </c>
      <c r="D2" s="1" t="e">
        <f>RTD("rtdtrading.rtdserver",, "WDOFUT_F_0", "ULT")</f>
        <v>#N/A</v>
      </c>
      <c r="E2" s="1" t="e">
        <f>RTD("rtdtrading.rtdserver",, "WDOFUT_F_0", "ABE")</f>
        <v>#N/A</v>
      </c>
      <c r="F2" s="1" t="e">
        <f>RTD("rtdtrading.rtdserver",, "WDOFUT_F_0", "MAX")</f>
        <v>#N/A</v>
      </c>
      <c r="G2" s="1" t="e">
        <f>RTD("rtdtrading.rtdserver",, "WDOFUT_F_0", "MIN")</f>
        <v>#N/A</v>
      </c>
      <c r="H2" s="1" t="e">
        <f>RTD("rtdtrading.rtdserver",, "WDOFUT_F_0", "FEC")</f>
        <v>#N/A</v>
      </c>
      <c r="I2" s="1" t="e">
        <f>RTD("rtdtrading.rtdserver",, "WDOFUT_F_0", "PEX")</f>
        <v>#N/A</v>
      </c>
      <c r="J2" s="1" t="e">
        <f>RTD("rtdtrading.rtdserver",, "WDOFUT_F_0", "VAR")</f>
        <v>#N/A</v>
      </c>
      <c r="K2" s="1" t="e">
        <f>RTD("rtdtrading.rtdserver",, "WDOFUT_F_0", "VARPTS")</f>
        <v>#N/A</v>
      </c>
      <c r="L2" t="e">
        <f>RTD("rtdtrading.rtdserver",, "WDOFUT_F_0", "MED")</f>
        <v>#N/A</v>
      </c>
      <c r="M2" t="s">
        <v>53</v>
      </c>
      <c r="N2" t="e">
        <f>RTD("rtdtrading.rtdserver",, "WDOFUT_F_0", "NEG")</f>
        <v>#N/A</v>
      </c>
      <c r="O2" t="e">
        <f>RTD("rtdtrading.rtdserver",, "WDOFUT_F_0", "QUL")</f>
        <v>#N/A</v>
      </c>
      <c r="P2" t="e">
        <f>RTD("rtdtrading.rtdserver",, "WDOFUT_F_0", "QTT")</f>
        <v>#N/A</v>
      </c>
      <c r="Q2" t="e">
        <f>RTD("rtdtrading.rtdserver",, "WDOFUT_F_0", "VOL")</f>
        <v>#N/A</v>
      </c>
      <c r="R2" t="e">
        <f>RTD("rtdtrading.rtdserver",, "WDOFUT_F_0", "OCP")</f>
        <v>#N/A</v>
      </c>
      <c r="S2" t="e">
        <f>RTD("rtdtrading.rtdserver",, "WDOFUT_F_0", "OVD")</f>
        <v>#N/A</v>
      </c>
      <c r="T2" t="e">
        <f>RTD("rtdtrading.rtdserver",, "WDOFUT_F_0", "VOC")</f>
        <v>#N/A</v>
      </c>
      <c r="U2" t="e">
        <f>RTD("rtdtrading.rtdserver",, "WDOFUT_F_0", "VOV")</f>
        <v>#N/A</v>
      </c>
      <c r="V2" t="e">
        <f>RTD("rtdtrading.rtdserver",, "WDOFUT_F_0", "AJU")</f>
        <v>#N/A</v>
      </c>
      <c r="W2" t="e">
        <f>RTD("rtdtrading.rtdserver",, "WDOFUT_F_0", "AJA")</f>
        <v>#N/A</v>
      </c>
      <c r="X2" t="e">
        <f>RTD("rtdtrading.rtdserver",, "WDOFUT_F_0", "PRT")</f>
        <v>#N/A</v>
      </c>
      <c r="Y2" t="e">
        <f>RTD("rtdtrading.rtdserver",, "WDOFUT_F_0", "QTE")</f>
        <v>#N/A</v>
      </c>
      <c r="Z2" t="e">
        <f>RTD("rtdtrading.rtdserver",, "WDOFUT_F_0", "VPJ")</f>
        <v>#N/A</v>
      </c>
      <c r="AA2" t="e">
        <f>RTD("rtdtrading.rtdserver",, "WDOFUT_F_0", "SEM")</f>
        <v>#N/A</v>
      </c>
      <c r="AB2" t="e">
        <f>RTD("rtdtrading.rtdserver",, "WDOFUT_F_0", "MES")</f>
        <v>#N/A</v>
      </c>
      <c r="AC2" t="e">
        <f>RTD("rtdtrading.rtdserver",, "WDOFUT_F_0", "3M")</f>
        <v>#N/A</v>
      </c>
      <c r="AD2" t="e">
        <f>RTD("rtdtrading.rtdserver",, "WDOFUT_F_0", "6M")</f>
        <v>#N/A</v>
      </c>
      <c r="AE2" t="e">
        <f>RTD("rtdtrading.rtdserver",, "WDOFUT_F_0", "12M")</f>
        <v>#N/A</v>
      </c>
      <c r="AF2" t="e">
        <f>RTD("rtdtrading.rtdserver",, "WDOFUT_F_0", "ANO")</f>
        <v>#N/A</v>
      </c>
      <c r="AG2" t="e">
        <f>RTD("rtdtrading.rtdserver",, "WDOFUT_F_0", "TRIM")</f>
        <v>#N/A</v>
      </c>
      <c r="AH2" t="e">
        <f>RTD("rtdtrading.rtdserver",, "WDOFUT_F_0", "SEMES")</f>
        <v>#N/A</v>
      </c>
      <c r="AI2" t="e">
        <f>RTD("rtdtrading.rtdserver",, "WDOFUT_F_0", "VEN")</f>
        <v>#N/A</v>
      </c>
      <c r="AJ2" t="e">
        <f>RTD("rtdtrading.rtdserver",, "WDOFUT_F_0", "VAL")</f>
        <v>#N/A</v>
      </c>
      <c r="AK2" t="e">
        <f>RTD("rtdtrading.rtdserver",, "WDOFUT_F_0", "CAB")</f>
        <v>#N/A</v>
      </c>
      <c r="AL2" t="e">
        <f>RTD("rtdtrading.rtdserver",, "WDOFUT_F_0", "EST")</f>
        <v>#N/A</v>
      </c>
      <c r="AM2" t="e">
        <f>RTD("rtdtrading.rtdserver",, "WDOFUT_F_0", "BLACK")</f>
        <v>#N/A</v>
      </c>
      <c r="AN2" t="e">
        <f>RTD("rtdtrading.rtdserver",, "WDOFUT_F_0", "IMPVT")</f>
        <v>#N/A</v>
      </c>
      <c r="AO2" t="e">
        <f>RTD("rtdtrading.rtdserver",, "WDOFUT_F_0", "DELTA")</f>
        <v>#N/A</v>
      </c>
      <c r="AP2" t="e">
        <f>RTD("rtdtrading.rtdserver",, "WDOFUT_F_0", "GAMA")</f>
        <v>#N/A</v>
      </c>
      <c r="AQ2" t="e">
        <f>RTD("rtdtrading.rtdserver",, "WDOFUT_F_0", "THETA")</f>
        <v>#N/A</v>
      </c>
      <c r="AR2" t="e">
        <f>RTD("rtdtrading.rtdserver",, "WDOFUT_F_0", "RHO")</f>
        <v>#N/A</v>
      </c>
      <c r="AS2" t="e">
        <f>RTD("rtdtrading.rtdserver",, "WDOFUT_F_0", "VEGA")</f>
        <v>#N/A</v>
      </c>
      <c r="AT2" t="e">
        <f>RTD("rtdtrading.rtdserver",, "WDOFUT_F_0", "VIA")</f>
        <v>#N/A</v>
      </c>
      <c r="AU2" t="e">
        <f>RTD("rtdtrading.rtdserver",, "WDOFUT_F_0", "VIB")</f>
        <v>#N/A</v>
      </c>
      <c r="AV2" t="e">
        <f>RTD("rtdtrading.rtdserver",, "WDOFUT_F_0", "DOBRAR")</f>
        <v>#N/A</v>
      </c>
      <c r="AW2" t="e">
        <f>RTD("rtdtrading.rtdserver",, "WDOFUT_F_0", "VIVH")</f>
        <v>#N/A</v>
      </c>
      <c r="AX2" t="e">
        <f>RTD("rtdtrading.rtdserver",, "WDOFUT_F_0", "VINT")</f>
        <v>#N/A</v>
      </c>
      <c r="AY2" t="e">
        <f>RTD("rtdtrading.rtdserver",, "WDOFUT_F_0", "VEXT")</f>
        <v>#N/A</v>
      </c>
      <c r="AZ2" t="e">
        <f>RTD("rtdtrading.rtdserver",, "WDOFUT_F_0", "101_psicotrade")</f>
        <v>#N/A</v>
      </c>
      <c r="BA2" t="e">
        <f>RTD("rtdtrading.rtdserver",, "WDOFUT_F_0", "67")</f>
        <v>#N/A</v>
      </c>
    </row>
    <row r="3" spans="1:53" x14ac:dyDescent="0.35">
      <c r="A3" s="1" t="s">
        <v>54</v>
      </c>
      <c r="B3" s="1" t="e">
        <f>RTD("rtdtrading.rtdserver",, "WINFUT_F_0", "DAT")</f>
        <v>#N/A</v>
      </c>
      <c r="C3" s="1" t="e">
        <f>RTD("rtdtrading.rtdserver",, "WINFUT_F_0", "HOR")</f>
        <v>#N/A</v>
      </c>
      <c r="D3" s="1" t="e">
        <f>RTD("rtdtrading.rtdserver",, "WINFUT_F_0", "ULT")</f>
        <v>#N/A</v>
      </c>
      <c r="E3" s="1" t="e">
        <f>RTD("rtdtrading.rtdserver",, "WINFUT_F_0", "ABE")</f>
        <v>#N/A</v>
      </c>
      <c r="F3" s="1" t="e">
        <f>RTD("rtdtrading.rtdserver",, "WINFUT_F_0", "MAX")</f>
        <v>#N/A</v>
      </c>
      <c r="G3" s="1" t="e">
        <f>RTD("rtdtrading.rtdserver",, "WINFUT_F_0", "MIN")</f>
        <v>#N/A</v>
      </c>
      <c r="H3" s="1" t="e">
        <f>RTD("rtdtrading.rtdserver",, "WINFUT_F_0", "FEC")</f>
        <v>#N/A</v>
      </c>
      <c r="I3" s="1" t="e">
        <f>RTD("rtdtrading.rtdserver",, "WINFUT_F_0", "PEX")</f>
        <v>#N/A</v>
      </c>
      <c r="J3" s="1" t="e">
        <f>RTD("rtdtrading.rtdserver",, "WINFUT_F_0", "VAR")</f>
        <v>#N/A</v>
      </c>
      <c r="K3" s="1" t="e">
        <f>RTD("rtdtrading.rtdserver",, "WINFUT_F_0", "VARPTS")</f>
        <v>#N/A</v>
      </c>
      <c r="L3" t="e">
        <f>RTD("rtdtrading.rtdserver",, "WINFUT_F_0", "MED")</f>
        <v>#N/A</v>
      </c>
      <c r="M3" t="s">
        <v>55</v>
      </c>
      <c r="N3" t="e">
        <f>RTD("rtdtrading.rtdserver",, "WINFUT_F_0", "NEG")</f>
        <v>#N/A</v>
      </c>
      <c r="O3" t="e">
        <f>RTD("rtdtrading.rtdserver",, "WINFUT_F_0", "QUL")</f>
        <v>#N/A</v>
      </c>
      <c r="P3" t="e">
        <f>RTD("rtdtrading.rtdserver",, "WINFUT_F_0", "QTT")</f>
        <v>#N/A</v>
      </c>
      <c r="Q3" t="e">
        <f>RTD("rtdtrading.rtdserver",, "WINFUT_F_0", "VOL")</f>
        <v>#N/A</v>
      </c>
      <c r="R3" t="e">
        <f>RTD("rtdtrading.rtdserver",, "WINFUT_F_0", "OCP")</f>
        <v>#N/A</v>
      </c>
      <c r="S3" t="e">
        <f>RTD("rtdtrading.rtdserver",, "WINFUT_F_0", "OVD")</f>
        <v>#N/A</v>
      </c>
      <c r="T3" t="e">
        <f>RTD("rtdtrading.rtdserver",, "WINFUT_F_0", "VOC")</f>
        <v>#N/A</v>
      </c>
      <c r="U3" t="e">
        <f>RTD("rtdtrading.rtdserver",, "WINFUT_F_0", "VOV")</f>
        <v>#N/A</v>
      </c>
      <c r="V3" t="e">
        <f>RTD("rtdtrading.rtdserver",, "WINFUT_F_0", "AJU")</f>
        <v>#N/A</v>
      </c>
      <c r="W3" t="e">
        <f>RTD("rtdtrading.rtdserver",, "WINFUT_F_0", "AJA")</f>
        <v>#N/A</v>
      </c>
      <c r="X3" t="e">
        <f>RTD("rtdtrading.rtdserver",, "WINFUT_F_0", "PRT")</f>
        <v>#N/A</v>
      </c>
      <c r="Y3" t="e">
        <f>RTD("rtdtrading.rtdserver",, "WINFUT_F_0", "QTE")</f>
        <v>#N/A</v>
      </c>
      <c r="Z3" t="e">
        <f>RTD("rtdtrading.rtdserver",, "WINFUT_F_0", "VPJ")</f>
        <v>#N/A</v>
      </c>
      <c r="AA3" t="e">
        <f>RTD("rtdtrading.rtdserver",, "WINFUT_F_0", "SEM")</f>
        <v>#N/A</v>
      </c>
      <c r="AB3" t="e">
        <f>RTD("rtdtrading.rtdserver",, "WINFUT_F_0", "MES")</f>
        <v>#N/A</v>
      </c>
      <c r="AC3" t="e">
        <f>RTD("rtdtrading.rtdserver",, "WINFUT_F_0", "3M")</f>
        <v>#N/A</v>
      </c>
      <c r="AD3" t="e">
        <f>RTD("rtdtrading.rtdserver",, "WINFUT_F_0", "6M")</f>
        <v>#N/A</v>
      </c>
      <c r="AE3" t="e">
        <f>RTD("rtdtrading.rtdserver",, "WINFUT_F_0", "12M")</f>
        <v>#N/A</v>
      </c>
      <c r="AF3" t="e">
        <f>RTD("rtdtrading.rtdserver",, "WINFUT_F_0", "ANO")</f>
        <v>#N/A</v>
      </c>
      <c r="AG3" t="e">
        <f>RTD("rtdtrading.rtdserver",, "WINFUT_F_0", "TRIM")</f>
        <v>#N/A</v>
      </c>
      <c r="AH3" t="e">
        <f>RTD("rtdtrading.rtdserver",, "WINFUT_F_0", "SEMES")</f>
        <v>#N/A</v>
      </c>
      <c r="AI3" t="e">
        <f>RTD("rtdtrading.rtdserver",, "WINFUT_F_0", "VEN")</f>
        <v>#N/A</v>
      </c>
      <c r="AJ3" t="e">
        <f>RTD("rtdtrading.rtdserver",, "WINFUT_F_0", "VAL")</f>
        <v>#N/A</v>
      </c>
      <c r="AK3" t="e">
        <f>RTD("rtdtrading.rtdserver",, "WINFUT_F_0", "CAB")</f>
        <v>#N/A</v>
      </c>
      <c r="AL3" t="e">
        <f>RTD("rtdtrading.rtdserver",, "WINFUT_F_0", "EST")</f>
        <v>#N/A</v>
      </c>
      <c r="AM3" t="e">
        <f>RTD("rtdtrading.rtdserver",, "WINFUT_F_0", "BLACK")</f>
        <v>#N/A</v>
      </c>
      <c r="AN3" t="e">
        <f>RTD("rtdtrading.rtdserver",, "WINFUT_F_0", "IMPVT")</f>
        <v>#N/A</v>
      </c>
      <c r="AO3" t="e">
        <f>RTD("rtdtrading.rtdserver",, "WINFUT_F_0", "DELTA")</f>
        <v>#N/A</v>
      </c>
      <c r="AP3" t="e">
        <f>RTD("rtdtrading.rtdserver",, "WINFUT_F_0", "GAMA")</f>
        <v>#N/A</v>
      </c>
      <c r="AQ3" t="e">
        <f>RTD("rtdtrading.rtdserver",, "WINFUT_F_0", "THETA")</f>
        <v>#N/A</v>
      </c>
      <c r="AR3" t="e">
        <f>RTD("rtdtrading.rtdserver",, "WINFUT_F_0", "RHO")</f>
        <v>#N/A</v>
      </c>
      <c r="AS3" t="e">
        <f>RTD("rtdtrading.rtdserver",, "WINFUT_F_0", "VEGA")</f>
        <v>#N/A</v>
      </c>
      <c r="AT3" t="e">
        <f>RTD("rtdtrading.rtdserver",, "WINFUT_F_0", "VIA")</f>
        <v>#N/A</v>
      </c>
      <c r="AU3" t="e">
        <f>RTD("rtdtrading.rtdserver",, "WINFUT_F_0", "VIB")</f>
        <v>#N/A</v>
      </c>
      <c r="AV3" t="e">
        <f>RTD("rtdtrading.rtdserver",, "WINFUT_F_0", "DOBRAR")</f>
        <v>#N/A</v>
      </c>
      <c r="AW3" t="e">
        <f>RTD("rtdtrading.rtdserver",, "WINFUT_F_0", "VIVH")</f>
        <v>#N/A</v>
      </c>
      <c r="AX3" t="e">
        <f>RTD("rtdtrading.rtdserver",, "WINFUT_F_0", "VINT")</f>
        <v>#N/A</v>
      </c>
      <c r="AY3" t="e">
        <f>RTD("rtdtrading.rtdserver",, "WINFUT_F_0", "VEXT")</f>
        <v>#N/A</v>
      </c>
      <c r="AZ3" t="e">
        <f>RTD("rtdtrading.rtdserver",, "WINFUT_F_0", "101_psicotrade")</f>
        <v>#N/A</v>
      </c>
      <c r="BA3" t="e">
        <f>RTD("rtdtrading.rtdserver",, "WINFUT_F_0", "67")</f>
        <v>#N/A</v>
      </c>
    </row>
    <row r="4" spans="1:53" x14ac:dyDescent="0.35">
      <c r="A4" s="1" t="s">
        <v>56</v>
      </c>
      <c r="B4" s="1" t="e">
        <f>RTD("rtdtrading.rtdserver",, "BITFUT_F_0", "DAT")</f>
        <v>#N/A</v>
      </c>
      <c r="C4" s="1" t="e">
        <f>RTD("rtdtrading.rtdserver",, "BITFUT_F_0", "HOR")</f>
        <v>#N/A</v>
      </c>
      <c r="D4" s="1" t="e">
        <f>RTD("rtdtrading.rtdserver",, "BITFUT_F_0", "ULT")</f>
        <v>#N/A</v>
      </c>
      <c r="E4" s="1" t="e">
        <f>RTD("rtdtrading.rtdserver",, "BITFUT_F_0", "ABE")</f>
        <v>#N/A</v>
      </c>
      <c r="F4" s="1" t="e">
        <f>RTD("rtdtrading.rtdserver",, "BITFUT_F_0", "MAX")</f>
        <v>#N/A</v>
      </c>
      <c r="G4" s="1" t="e">
        <f>RTD("rtdtrading.rtdserver",, "BITFUT_F_0", "MIN")</f>
        <v>#N/A</v>
      </c>
      <c r="H4" s="1" t="e">
        <f>RTD("rtdtrading.rtdserver",, "BITFUT_F_0", "FEC")</f>
        <v>#N/A</v>
      </c>
      <c r="I4" s="1" t="e">
        <f>RTD("rtdtrading.rtdserver",, "BITFUT_F_0", "PEX")</f>
        <v>#N/A</v>
      </c>
      <c r="J4" s="1" t="e">
        <f>RTD("rtdtrading.rtdserver",, "BITFUT_F_0", "VAR")</f>
        <v>#N/A</v>
      </c>
      <c r="K4" s="1" t="e">
        <f>RTD("rtdtrading.rtdserver",, "BITFUT_F_0", "VARPTS")</f>
        <v>#N/A</v>
      </c>
      <c r="L4" t="e">
        <f>RTD("rtdtrading.rtdserver",, "BITFUT_F_0", "MED")</f>
        <v>#N/A</v>
      </c>
      <c r="M4" t="s">
        <v>57</v>
      </c>
      <c r="N4" t="e">
        <f>RTD("rtdtrading.rtdserver",, "BITFUT_F_0", "NEG")</f>
        <v>#N/A</v>
      </c>
      <c r="O4" t="e">
        <f>RTD("rtdtrading.rtdserver",, "BITFUT_F_0", "QUL")</f>
        <v>#N/A</v>
      </c>
      <c r="P4" t="e">
        <f>RTD("rtdtrading.rtdserver",, "BITFUT_F_0", "QTT")</f>
        <v>#N/A</v>
      </c>
      <c r="Q4" t="e">
        <f>RTD("rtdtrading.rtdserver",, "BITFUT_F_0", "VOL")</f>
        <v>#N/A</v>
      </c>
      <c r="R4" t="e">
        <f>RTD("rtdtrading.rtdserver",, "BITFUT_F_0", "OCP")</f>
        <v>#N/A</v>
      </c>
      <c r="S4" t="e">
        <f>RTD("rtdtrading.rtdserver",, "BITFUT_F_0", "OVD")</f>
        <v>#N/A</v>
      </c>
      <c r="T4" t="e">
        <f>RTD("rtdtrading.rtdserver",, "BITFUT_F_0", "VOC")</f>
        <v>#N/A</v>
      </c>
      <c r="U4" t="e">
        <f>RTD("rtdtrading.rtdserver",, "BITFUT_F_0", "VOV")</f>
        <v>#N/A</v>
      </c>
      <c r="V4" t="e">
        <f>RTD("rtdtrading.rtdserver",, "BITFUT_F_0", "AJU")</f>
        <v>#N/A</v>
      </c>
      <c r="W4" t="e">
        <f>RTD("rtdtrading.rtdserver",, "BITFUT_F_0", "AJA")</f>
        <v>#N/A</v>
      </c>
      <c r="X4" t="e">
        <f>RTD("rtdtrading.rtdserver",, "BITFUT_F_0", "PRT")</f>
        <v>#N/A</v>
      </c>
      <c r="Y4" t="e">
        <f>RTD("rtdtrading.rtdserver",, "BITFUT_F_0", "QTE")</f>
        <v>#N/A</v>
      </c>
      <c r="Z4" t="e">
        <f>RTD("rtdtrading.rtdserver",, "BITFUT_F_0", "VPJ")</f>
        <v>#N/A</v>
      </c>
      <c r="AA4" t="e">
        <f>RTD("rtdtrading.rtdserver",, "BITFUT_F_0", "SEM")</f>
        <v>#N/A</v>
      </c>
      <c r="AB4" t="e">
        <f>RTD("rtdtrading.rtdserver",, "BITFUT_F_0", "MES")</f>
        <v>#N/A</v>
      </c>
      <c r="AC4" t="e">
        <f>RTD("rtdtrading.rtdserver",, "BITFUT_F_0", "3M")</f>
        <v>#N/A</v>
      </c>
      <c r="AD4" t="e">
        <f>RTD("rtdtrading.rtdserver",, "BITFUT_F_0", "6M")</f>
        <v>#N/A</v>
      </c>
      <c r="AE4" t="e">
        <f>RTD("rtdtrading.rtdserver",, "BITFUT_F_0", "12M")</f>
        <v>#N/A</v>
      </c>
      <c r="AF4" t="e">
        <f>RTD("rtdtrading.rtdserver",, "BITFUT_F_0", "ANO")</f>
        <v>#N/A</v>
      </c>
      <c r="AG4" t="e">
        <f>RTD("rtdtrading.rtdserver",, "BITFUT_F_0", "TRIM")</f>
        <v>#N/A</v>
      </c>
      <c r="AH4" t="e">
        <f>RTD("rtdtrading.rtdserver",, "BITFUT_F_0", "SEMES")</f>
        <v>#N/A</v>
      </c>
      <c r="AI4" t="e">
        <f>RTD("rtdtrading.rtdserver",, "BITFUT_F_0", "VEN")</f>
        <v>#N/A</v>
      </c>
      <c r="AJ4" t="e">
        <f>RTD("rtdtrading.rtdserver",, "BITFUT_F_0", "VAL")</f>
        <v>#N/A</v>
      </c>
      <c r="AK4" t="e">
        <f>RTD("rtdtrading.rtdserver",, "BITFUT_F_0", "CAB")</f>
        <v>#N/A</v>
      </c>
      <c r="AL4" t="e">
        <f>RTD("rtdtrading.rtdserver",, "BITFUT_F_0", "EST")</f>
        <v>#N/A</v>
      </c>
      <c r="AM4" t="e">
        <f>RTD("rtdtrading.rtdserver",, "BITFUT_F_0", "BLACK")</f>
        <v>#N/A</v>
      </c>
      <c r="AN4" t="e">
        <f>RTD("rtdtrading.rtdserver",, "BITFUT_F_0", "IMPVT")</f>
        <v>#N/A</v>
      </c>
      <c r="AO4" t="e">
        <f>RTD("rtdtrading.rtdserver",, "BITFUT_F_0", "DELTA")</f>
        <v>#N/A</v>
      </c>
      <c r="AP4" t="e">
        <f>RTD("rtdtrading.rtdserver",, "BITFUT_F_0", "GAMA")</f>
        <v>#N/A</v>
      </c>
      <c r="AQ4" t="e">
        <f>RTD("rtdtrading.rtdserver",, "BITFUT_F_0", "THETA")</f>
        <v>#N/A</v>
      </c>
      <c r="AR4" t="e">
        <f>RTD("rtdtrading.rtdserver",, "BITFUT_F_0", "RHO")</f>
        <v>#N/A</v>
      </c>
      <c r="AS4" t="e">
        <f>RTD("rtdtrading.rtdserver",, "BITFUT_F_0", "VEGA")</f>
        <v>#N/A</v>
      </c>
      <c r="AT4" t="e">
        <f>RTD("rtdtrading.rtdserver",, "BITFUT_F_0", "VIA")</f>
        <v>#N/A</v>
      </c>
      <c r="AU4" t="e">
        <f>RTD("rtdtrading.rtdserver",, "BITFUT_F_0", "VIB")</f>
        <v>#N/A</v>
      </c>
      <c r="AV4" t="e">
        <f>RTD("rtdtrading.rtdserver",, "BITFUT_F_0", "DOBRAR")</f>
        <v>#N/A</v>
      </c>
      <c r="AW4" t="e">
        <f>RTD("rtdtrading.rtdserver",, "BITFUT_F_0", "VIVH")</f>
        <v>#N/A</v>
      </c>
      <c r="AX4" t="e">
        <f>RTD("rtdtrading.rtdserver",, "BITFUT_F_0", "VINT")</f>
        <v>#N/A</v>
      </c>
      <c r="AY4" t="e">
        <f>RTD("rtdtrading.rtdserver",, "BITFUT_F_0", "VEXT")</f>
        <v>#N/A</v>
      </c>
      <c r="AZ4" t="e">
        <f>RTD("rtdtrading.rtdserver",, "BITFUT_F_0", "101_psicotrade")</f>
        <v>#N/A</v>
      </c>
      <c r="BA4" t="e">
        <f>RTD("rtdtrading.rtdserver",, "BITFUT_F_0", "67")</f>
        <v>#N/A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Ações</vt:lpstr>
      <vt:lpstr>Futuros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Farrofa DeBacon</dc:creator>
  <cp:keywords/>
  <dc:description/>
  <cp:lastModifiedBy>Farrofa DeBacon</cp:lastModifiedBy>
  <cp:revision/>
  <dcterms:created xsi:type="dcterms:W3CDTF">2026-02-04T01:07:48Z</dcterms:created>
  <dcterms:modified xsi:type="dcterms:W3CDTF">2026-04-08T00:17:59Z</dcterms:modified>
  <cp:category/>
  <cp:contentStatus/>
</cp:coreProperties>
</file>